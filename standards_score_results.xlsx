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tandards Score Report" sheetId="1" state="visible" r:id="rId1"/>
    <sheet name="Summary สถิติภาพรวม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&quot; เว็บไซต์&quot;"/>
    <numFmt numFmtId="165" formatCode="0.0%"/>
    <numFmt numFmtId="166" formatCode="0&quot; เว็บ&quot;"/>
  </numFmts>
  <fonts count="17">
    <font>
      <name val="Calibri"/>
      <family val="2"/>
      <color theme="1"/>
      <sz val="11"/>
      <scheme val="minor"/>
    </font>
    <font>
      <name val="Segoe UI"/>
      <b val="1"/>
      <color rgb="FFFFFFFF"/>
      <sz val="10"/>
    </font>
    <font>
      <name val="Segoe UI"/>
      <sz val="10"/>
    </font>
    <font>
      <name val="Segoe UI"/>
      <b val="1"/>
      <sz val="10"/>
    </font>
    <font>
      <name val="Segoe UI"/>
      <b val="1"/>
      <color rgb="FF0F5132"/>
      <sz val="10"/>
    </font>
    <font>
      <name val="Segoe UI"/>
      <b val="1"/>
      <color rgb="FF276A3C"/>
      <sz val="10"/>
    </font>
    <font>
      <name val="Segoe UI"/>
      <b val="1"/>
      <color rgb="FF856404"/>
      <sz val="10"/>
    </font>
    <font>
      <name val="Segoe UI"/>
      <b val="1"/>
      <color rgb="FF842029"/>
      <sz val="10"/>
    </font>
    <font>
      <name val="Segoe UI"/>
      <b val="1"/>
      <color rgb="FF0F172A"/>
      <sz val="13"/>
    </font>
    <font>
      <name val="Segoe UI"/>
      <b val="1"/>
      <color rgb="FFFFFFFF"/>
      <sz val="11"/>
    </font>
    <font>
      <name val="Segoe UI"/>
      <b val="1"/>
      <sz val="11"/>
    </font>
    <font>
      <name val="Segoe UI"/>
      <b val="1"/>
      <color rgb="FFC00000"/>
      <sz val="10"/>
    </font>
    <font>
      <name val="Segoe UI"/>
      <b val="1"/>
      <color rgb="00842029"/>
      <sz val="10"/>
    </font>
    <font>
      <name val="Segoe UI"/>
      <b val="1"/>
      <color rgb="00C00000"/>
      <sz val="10"/>
    </font>
    <font>
      <name val="Segoe UI"/>
      <b val="1"/>
      <color rgb="000F172A"/>
      <sz val="13"/>
    </font>
    <font>
      <name val="Segoe UI"/>
      <b val="1"/>
      <color rgb="00FFFFFF"/>
      <sz val="11"/>
    </font>
    <font>
      <name val="Segoe UI"/>
      <color rgb="000563C1"/>
      <sz val="10"/>
      <u val="single"/>
    </font>
  </fonts>
  <fills count="17">
    <fill>
      <patternFill/>
    </fill>
    <fill>
      <patternFill patternType="gray125"/>
    </fill>
    <fill>
      <patternFill patternType="solid">
        <fgColor rgb="FF103A5E"/>
        <bgColor rgb="FF103A5E"/>
      </patternFill>
    </fill>
    <fill>
      <patternFill patternType="solid">
        <fgColor rgb="FFD1E7DD"/>
        <bgColor rgb="FFD1E7DD"/>
      </patternFill>
    </fill>
    <fill>
      <patternFill patternType="solid">
        <fgColor rgb="FFD1E7DD"/>
      </patternFill>
    </fill>
    <fill>
      <patternFill patternType="solid">
        <fgColor rgb="FFE2EFDA"/>
      </patternFill>
    </fill>
    <fill>
      <patternFill patternType="solid">
        <fgColor rgb="FFFFF3CD"/>
        <bgColor rgb="FFFFF3CD"/>
      </patternFill>
    </fill>
    <fill>
      <patternFill patternType="solid">
        <fgColor rgb="FFFFF3CD"/>
      </patternFill>
    </fill>
    <fill>
      <patternFill patternType="solid">
        <fgColor rgb="FFF8D7DA"/>
        <bgColor rgb="FFF8D7DA"/>
      </patternFill>
    </fill>
    <fill>
      <patternFill patternType="solid">
        <fgColor rgb="FFF8D7DA"/>
      </patternFill>
    </fill>
    <fill>
      <patternFill patternType="solid">
        <fgColor rgb="FF103A5E"/>
      </patternFill>
    </fill>
    <fill>
      <patternFill patternType="solid">
        <fgColor rgb="FF334155"/>
      </patternFill>
    </fill>
    <fill>
      <patternFill patternType="solid">
        <fgColor rgb="FFFCE4D6"/>
      </patternFill>
    </fill>
    <fill>
      <patternFill patternType="solid">
        <fgColor rgb="00F8D7DA"/>
      </patternFill>
    </fill>
    <fill>
      <patternFill patternType="solid">
        <fgColor rgb="00FCE4D6"/>
      </patternFill>
    </fill>
    <fill>
      <patternFill patternType="solid">
        <fgColor rgb="00103A5E"/>
      </patternFill>
    </fill>
    <fill>
      <patternFill patternType="solid">
        <fgColor rgb="00334155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9" fontId="4" fillId="3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9" fontId="3" fillId="0" borderId="2" applyAlignment="1" pivotButton="0" quotePrefix="0" xfId="0">
      <alignment horizontal="right" vertical="center"/>
    </xf>
    <xf numFmtId="2" fontId="2" fillId="0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9" fontId="6" fillId="6" borderId="2" applyAlignment="1" pivotButton="0" quotePrefix="0" xfId="0">
      <alignment horizontal="right" vertical="center"/>
    </xf>
    <xf numFmtId="0" fontId="6" fillId="7" borderId="2" applyAlignment="1" pivotButton="0" quotePrefix="0" xfId="0">
      <alignment horizontal="center" vertical="center"/>
    </xf>
    <xf numFmtId="9" fontId="7" fillId="8" borderId="2" applyAlignment="1" pivotButton="0" quotePrefix="0" xfId="0">
      <alignment horizontal="right" vertical="center"/>
    </xf>
    <xf numFmtId="0" fontId="7" fillId="9" borderId="2" applyAlignment="1" pivotButton="0" quotePrefix="0" xfId="0">
      <alignment horizontal="center" vertical="center"/>
    </xf>
    <xf numFmtId="0" fontId="8" fillId="0" borderId="0" pivotButton="0" quotePrefix="0" xfId="0"/>
    <xf numFmtId="164" fontId="0" fillId="0" borderId="0" pivotButton="0" quotePrefix="0" xfId="0"/>
    <xf numFmtId="165" fontId="3" fillId="0" borderId="0" pivotButton="0" quotePrefix="0" xfId="0"/>
    <xf numFmtId="0" fontId="9" fillId="10" borderId="0" applyAlignment="1" pivotButton="0" quotePrefix="0" xfId="0">
      <alignment horizontal="center" vertical="center"/>
    </xf>
    <xf numFmtId="0" fontId="3" fillId="0" borderId="0" pivotButton="0" quotePrefix="0" xfId="0"/>
    <xf numFmtId="165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10" fillId="0" borderId="0" pivotButton="0" quotePrefix="0" xfId="0"/>
    <xf numFmtId="0" fontId="9" fillId="11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right" vertical="center"/>
    </xf>
    <xf numFmtId="0" fontId="11" fillId="12" borderId="2" applyAlignment="1" pivotButton="0" quotePrefix="0" xfId="0">
      <alignment horizontal="center" vertical="center"/>
    </xf>
    <xf numFmtId="9" fontId="12" fillId="13" borderId="2" applyAlignment="1" pivotButton="0" quotePrefix="0" xfId="0">
      <alignment horizontal="right" vertical="center"/>
    </xf>
    <xf numFmtId="0" fontId="12" fillId="13" borderId="2" applyAlignment="1" pivotButton="0" quotePrefix="0" xfId="0">
      <alignment horizontal="center" vertical="center"/>
    </xf>
    <xf numFmtId="0" fontId="13" fillId="14" borderId="2" applyAlignment="1" pivotButton="0" quotePrefix="0" xfId="0">
      <alignment horizontal="center" vertical="center"/>
    </xf>
    <xf numFmtId="0" fontId="14" fillId="0" borderId="0" pivotButton="0" quotePrefix="0" xfId="0"/>
    <xf numFmtId="0" fontId="15" fillId="15" borderId="0" applyAlignment="1" pivotButton="0" quotePrefix="0" xfId="0">
      <alignment horizontal="center" vertical="center"/>
    </xf>
    <xf numFmtId="0" fontId="15" fillId="16" borderId="0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anook.com" TargetMode="External" Id="rId1" /><Relationship Type="http://schemas.openxmlformats.org/officeDocument/2006/relationships/hyperlink" Target="http://www.thairath.co.th" TargetMode="External" Id="rId2" /><Relationship Type="http://schemas.openxmlformats.org/officeDocument/2006/relationships/hyperlink" Target="http://trueid.net" TargetMode="External" Id="rId3" /><Relationship Type="http://schemas.openxmlformats.org/officeDocument/2006/relationships/hyperlink" Target="http://www.khaosod.co.th" TargetMode="External" Id="rId4" /><Relationship Type="http://schemas.openxmlformats.org/officeDocument/2006/relationships/hyperlink" Target="http://www.kapook.com" TargetMode="External" Id="rId5" /><Relationship Type="http://schemas.openxmlformats.org/officeDocument/2006/relationships/hyperlink" Target="http://www.ais.th" TargetMode="External" Id="rId6" /><Relationship Type="http://schemas.openxmlformats.org/officeDocument/2006/relationships/hyperlink" Target="http://mgronline.com" TargetMode="External" Id="rId7" /><Relationship Type="http://schemas.openxmlformats.org/officeDocument/2006/relationships/hyperlink" Target="http://www.dochord.com" TargetMode="External" Id="rId8" /><Relationship Type="http://schemas.openxmlformats.org/officeDocument/2006/relationships/hyperlink" Target="http://www.dek-d.com" TargetMode="External" Id="rId9" /><Relationship Type="http://schemas.openxmlformats.org/officeDocument/2006/relationships/hyperlink" Target="http://www.matichon.co.th" TargetMode="External" Id="rId10" /><Relationship Type="http://schemas.openxmlformats.org/officeDocument/2006/relationships/hyperlink" Target="http://www.siamsport.co.th" TargetMode="External" Id="rId11" /><Relationship Type="http://schemas.openxmlformats.org/officeDocument/2006/relationships/hyperlink" Target="http://www.bangkokbiznews.com" TargetMode="External" Id="rId12" /><Relationship Type="http://schemas.openxmlformats.org/officeDocument/2006/relationships/hyperlink" Target="http://www.set.or.th" TargetMode="External" Id="rId13" /><Relationship Type="http://schemas.openxmlformats.org/officeDocument/2006/relationships/hyperlink" Target="http://www.pptvhd36.com" TargetMode="External" Id="rId14" /><Relationship Type="http://schemas.openxmlformats.org/officeDocument/2006/relationships/hyperlink" Target="http://www.ch7.com" TargetMode="External" Id="rId15" /><Relationship Type="http://schemas.openxmlformats.org/officeDocument/2006/relationships/hyperlink" Target="http://www.tnews.co.th" TargetMode="External" Id="rId16" /><Relationship Type="http://schemas.openxmlformats.org/officeDocument/2006/relationships/hyperlink" Target="http://www.dailynews.co.th" TargetMode="External" Id="rId17" /><Relationship Type="http://schemas.openxmlformats.org/officeDocument/2006/relationships/hyperlink" Target="http://www.thaipbs.or.th" TargetMode="External" Id="rId18" /><Relationship Type="http://schemas.openxmlformats.org/officeDocument/2006/relationships/hyperlink" Target="http://www.thaipost.net" TargetMode="External" Id="rId19" /><Relationship Type="http://schemas.openxmlformats.org/officeDocument/2006/relationships/hyperlink" Target="http://www.naewna.com" TargetMode="External" Id="rId20" /><Relationship Type="http://schemas.openxmlformats.org/officeDocument/2006/relationships/hyperlink" Target="http://www.amarintv.com" TargetMode="External" Id="rId21" /><Relationship Type="http://schemas.openxmlformats.org/officeDocument/2006/relationships/hyperlink" Target="http://www.uamulet.com" TargetMode="External" Id="rId22" /><Relationship Type="http://schemas.openxmlformats.org/officeDocument/2006/relationships/hyperlink" Target="http://www.komchadluek.net" TargetMode="External" Id="rId23" /><Relationship Type="http://schemas.openxmlformats.org/officeDocument/2006/relationships/hyperlink" Target="http://www.bangkokpost.com" TargetMode="External" Id="rId24" /><Relationship Type="http://schemas.openxmlformats.org/officeDocument/2006/relationships/hyperlink" Target="http://www.thaiware.com" TargetMode="External" Id="rId25" /><Relationship Type="http://schemas.openxmlformats.org/officeDocument/2006/relationships/hyperlink" Target="http://www.ejan.co" TargetMode="External" Id="rId26" /><Relationship Type="http://schemas.openxmlformats.org/officeDocument/2006/relationships/hyperlink" Target="http://www.longdo.com" TargetMode="External" Id="rId27" /><Relationship Type="http://schemas.openxmlformats.org/officeDocument/2006/relationships/hyperlink" Target="http://www.prachachat.net" TargetMode="External" Id="rId28" /><Relationship Type="http://schemas.openxmlformats.org/officeDocument/2006/relationships/hyperlink" Target="http://www.thansettakij.com" TargetMode="External" Id="rId29" /><Relationship Type="http://schemas.openxmlformats.org/officeDocument/2006/relationships/hyperlink" Target="http://siamphone.com" TargetMode="External" Id="rId30" /><Relationship Type="http://schemas.openxmlformats.org/officeDocument/2006/relationships/hyperlink" Target="http://www.renthub.in.th" TargetMode="External" Id="rId31" /><Relationship Type="http://schemas.openxmlformats.org/officeDocument/2006/relationships/hyperlink" Target="http://www.trueplookpanya.com" TargetMode="External" Id="rId32" /><Relationship Type="http://schemas.openxmlformats.org/officeDocument/2006/relationships/hyperlink" Target="http://www.propertyhub.in.th" TargetMode="External" Id="rId33" /><Relationship Type="http://schemas.openxmlformats.org/officeDocument/2006/relationships/hyperlink" Target="http://www.meemodel.com" TargetMode="External" Id="rId34" /><Relationship Type="http://schemas.openxmlformats.org/officeDocument/2006/relationships/hyperlink" Target="http://coolism.net" TargetMode="External" Id="rId35" /><Relationship Type="http://schemas.openxmlformats.org/officeDocument/2006/relationships/hyperlink" Target="http://www.yellowpages.co.th" TargetMode="External" Id="rId36" /><Relationship Type="http://schemas.openxmlformats.org/officeDocument/2006/relationships/hyperlink" Target="http://droidsans.com" TargetMode="External" Id="rId37" /><Relationship Type="http://schemas.openxmlformats.org/officeDocument/2006/relationships/hyperlink" Target="http://www.headlightmag.com" TargetMode="External" Id="rId38" /><Relationship Type="http://schemas.openxmlformats.org/officeDocument/2006/relationships/hyperlink" Target="http://www.chillpainai.com" TargetMode="External" Id="rId39" /><Relationship Type="http://schemas.openxmlformats.org/officeDocument/2006/relationships/hyperlink" Target="http://www.studentloan.or.th" TargetMode="External" Id="rId40" /><Relationship Type="http://schemas.openxmlformats.org/officeDocument/2006/relationships/hyperlink" Target="http://www.kaohoon.com" TargetMode="External" Id="rId41" /><Relationship Type="http://schemas.openxmlformats.org/officeDocument/2006/relationships/hyperlink" Target="http://www.posttoday.com" TargetMode="External" Id="rId42" /><Relationship Type="http://schemas.openxmlformats.org/officeDocument/2006/relationships/hyperlink" Target="http://nationthailand.com" TargetMode="External" Id="rId43" /><Relationship Type="http://schemas.openxmlformats.org/officeDocument/2006/relationships/hyperlink" Target="http://www.thainewsonline.co" TargetMode="External" Id="rId44" /><Relationship Type="http://schemas.openxmlformats.org/officeDocument/2006/relationships/hyperlink" Target="http://www.checkraka.com" TargetMode="External" Id="rId45" /><Relationship Type="http://schemas.openxmlformats.org/officeDocument/2006/relationships/hyperlink" Target="http://www.bts.co.th" TargetMode="External" Id="rId46" /><Relationship Type="http://schemas.openxmlformats.org/officeDocument/2006/relationships/hyperlink" Target="http://www.settrade.com" TargetMode="External" Id="rId47" /><Relationship Type="http://schemas.openxmlformats.org/officeDocument/2006/relationships/hyperlink" Target="http://isranews.org" TargetMode="External" Id="rId48" /><Relationship Type="http://schemas.openxmlformats.org/officeDocument/2006/relationships/hyperlink" Target="http://www.kruwandee.com" TargetMode="External" Id="rId49" /><Relationship Type="http://schemas.openxmlformats.org/officeDocument/2006/relationships/hyperlink" Target="http://www.bot.or.th" TargetMode="External" Id="rId50" /><Relationship Type="http://schemas.openxmlformats.org/officeDocument/2006/relationships/hyperlink" Target="http://www.thaihometown.com" TargetMode="External" Id="rId51" /><Relationship Type="http://schemas.openxmlformats.org/officeDocument/2006/relationships/hyperlink" Target="http://www.prd.go.th" TargetMode="External" Id="rId52" /><Relationship Type="http://schemas.openxmlformats.org/officeDocument/2006/relationships/hyperlink" Target="http://tnnthailand.com" TargetMode="External" Id="rId53" /><Relationship Type="http://schemas.openxmlformats.org/officeDocument/2006/relationships/hyperlink" Target="http://www.siamrath.co.th" TargetMode="External" Id="rId54" /><Relationship Type="http://schemas.openxmlformats.org/officeDocument/2006/relationships/hyperlink" Target="http://www.hfocus.org" TargetMode="External" Id="rId55" /><Relationship Type="http://schemas.openxmlformats.org/officeDocument/2006/relationships/hyperlink" Target="http://www.nationtv.tv" TargetMode="External" Id="rId56" /><Relationship Type="http://schemas.openxmlformats.org/officeDocument/2006/relationships/hyperlink" Target="http://www.thaimobilecenter.com" TargetMode="External" Id="rId57" /><Relationship Type="http://schemas.openxmlformats.org/officeDocument/2006/relationships/hyperlink" Target="http://www.kalyanamitra.org" TargetMode="External" Id="rId58" /><Relationship Type="http://schemas.openxmlformats.org/officeDocument/2006/relationships/hyperlink" Target="http://www.silpa-mag.com" TargetMode="External" Id="rId59" /><Relationship Type="http://schemas.openxmlformats.org/officeDocument/2006/relationships/hyperlink" Target="http://car250.com" TargetMode="External" Id="rId60" /><Relationship Type="http://schemas.openxmlformats.org/officeDocument/2006/relationships/hyperlink" Target="http://www.mushroomtravel.com" TargetMode="External" Id="rId61" /><Relationship Type="http://schemas.openxmlformats.org/officeDocument/2006/relationships/hyperlink" Target="http://www.honekrasae.com" TargetMode="External" Id="rId62" /><Relationship Type="http://schemas.openxmlformats.org/officeDocument/2006/relationships/hyperlink" Target="http://www.guitarthai.com" TargetMode="External" Id="rId63" /><Relationship Type="http://schemas.openxmlformats.org/officeDocument/2006/relationships/hyperlink" Target="http://www.mcot.net" TargetMode="External" Id="rId64" /><Relationship Type="http://schemas.openxmlformats.org/officeDocument/2006/relationships/hyperlink" Target="http://www.bemplc.co.th" TargetMode="External" Id="rId65" /><Relationship Type="http://schemas.openxmlformats.org/officeDocument/2006/relationships/hyperlink" Target="http://www.ghbank.co.th" TargetMode="External" Id="rId66" /><Relationship Type="http://schemas.openxmlformats.org/officeDocument/2006/relationships/hyperlink" Target="http://workpointtoday.com" TargetMode="External" Id="rId67" /><Relationship Type="http://schemas.openxmlformats.org/officeDocument/2006/relationships/hyperlink" Target="http://www.dla.go.th" TargetMode="External" Id="rId68" /><Relationship Type="http://schemas.openxmlformats.org/officeDocument/2006/relationships/hyperlink" Target="http://www.ryoiireview.com" TargetMode="External" Id="rId69" /><Relationship Type="http://schemas.openxmlformats.org/officeDocument/2006/relationships/hyperlink" Target="http://www.iphone-droid.net" TargetMode="External" Id="rId70" /><Relationship Type="http://schemas.openxmlformats.org/officeDocument/2006/relationships/hyperlink" Target="http://www.bugaboo.tv" TargetMode="External" Id="rId71" /><Relationship Type="http://schemas.openxmlformats.org/officeDocument/2006/relationships/hyperlink" Target="http://www.thunhoon.com" TargetMode="External" Id="rId72" /><Relationship Type="http://schemas.openxmlformats.org/officeDocument/2006/relationships/hyperlink" Target="http://www.9carthai.com" TargetMode="External" Id="rId73" /><Relationship Type="http://schemas.openxmlformats.org/officeDocument/2006/relationships/hyperlink" Target="http://www.nextnewsth.com" TargetMode="External" Id="rId74" /><Relationship Type="http://schemas.openxmlformats.org/officeDocument/2006/relationships/hyperlink" Target="http://www.eFinanceThai.com" TargetMode="External" Id="rId75" /><Relationship Type="http://schemas.openxmlformats.org/officeDocument/2006/relationships/hyperlink" Target="http://www.springnews.co.th" TargetMode="External" Id="rId76" /><Relationship Type="http://schemas.openxmlformats.org/officeDocument/2006/relationships/hyperlink" Target="http://www.khaosodenglish.com" TargetMode="External" Id="rId77" /><Relationship Type="http://schemas.openxmlformats.org/officeDocument/2006/relationships/hyperlink" Target="http://www.chiangmainews.co.th" TargetMode="External" Id="rId78" /><Relationship Type="http://schemas.openxmlformats.org/officeDocument/2006/relationships/hyperlink" Target="http://www.kroobannok.com" TargetMode="External" Id="rId79" /><Relationship Type="http://schemas.openxmlformats.org/officeDocument/2006/relationships/hyperlink" Target="http://rsathai.org" TargetMode="External" Id="rId80" /><Relationship Type="http://schemas.openxmlformats.org/officeDocument/2006/relationships/hyperlink" Target="http://www.oryor.com" TargetMode="External" Id="rId81" /><Relationship Type="http://schemas.openxmlformats.org/officeDocument/2006/relationships/hyperlink" Target="http://www.banmuang.co.th" TargetMode="External" Id="rId82" /><Relationship Type="http://schemas.openxmlformats.org/officeDocument/2006/relationships/hyperlink" Target="http://www.share2trade.com" TargetMode="External" Id="rId83" /><Relationship Type="http://schemas.openxmlformats.org/officeDocument/2006/relationships/hyperlink" Target="http://www.nangdee.com" TargetMode="External" Id="rId84" /><Relationship Type="http://schemas.openxmlformats.org/officeDocument/2006/relationships/hyperlink" Target="http://www.beartai.com" TargetMode="External" Id="rId85" /><Relationship Type="http://schemas.openxmlformats.org/officeDocument/2006/relationships/hyperlink" Target="http://www.overclockzone.com" TargetMode="External" Id="rId86" /><Relationship Type="http://schemas.openxmlformats.org/officeDocument/2006/relationships/hyperlink" Target="http://www.setinvestnow.com" TargetMode="External" Id="rId87" /><Relationship Type="http://schemas.openxmlformats.org/officeDocument/2006/relationships/hyperlink" Target="http://marketingoops.com" TargetMode="External" Id="rId88" /><Relationship Type="http://schemas.openxmlformats.org/officeDocument/2006/relationships/hyperlink" Target="http://th.openrice.com" TargetMode="External" Id="rId89" /><Relationship Type="http://schemas.openxmlformats.org/officeDocument/2006/relationships/hyperlink" Target="http://thepeople.co" TargetMode="External" Id="rId90" /><Relationship Type="http://schemas.openxmlformats.org/officeDocument/2006/relationships/hyperlink" Target="http://www.brighttv.co.th" TargetMode="External" Id="rId91" /><Relationship Type="http://schemas.openxmlformats.org/officeDocument/2006/relationships/hyperlink" Target="http://www.tkpark.or.th" TargetMode="External" Id="rId92" /><Relationship Type="http://schemas.openxmlformats.org/officeDocument/2006/relationships/hyperlink" Target="http://www.tfex.co.th" TargetMode="External" Id="rId93" /><Relationship Type="http://schemas.openxmlformats.org/officeDocument/2006/relationships/hyperlink" Target="http://www.workpointtv.com" TargetMode="External" Id="rId94" /><Relationship Type="http://schemas.openxmlformats.org/officeDocument/2006/relationships/hyperlink" Target="http://thaipbsworld.com" TargetMode="External" Id="rId95" /><Relationship Type="http://schemas.openxmlformats.org/officeDocument/2006/relationships/hyperlink" Target="http://www.residences.in.th" TargetMode="External" Id="rId96" /><Relationship Type="http://schemas.openxmlformats.org/officeDocument/2006/relationships/hyperlink" Target="http://thainews.prd.go.th" TargetMode="External" Id="rId97" /><Relationship Type="http://schemas.openxmlformats.org/officeDocument/2006/relationships/hyperlink" Target="http://www.flashfly.net" TargetMode="External" Id="rId98" /><Relationship Type="http://schemas.openxmlformats.org/officeDocument/2006/relationships/hyperlink" Target="http://true4u.com" TargetMode="External" Id="rId99" /><Relationship Type="http://schemas.openxmlformats.org/officeDocument/2006/relationships/hyperlink" Target="http://www.autoinfo.co.th" TargetMode="External" Id="rId100" /><Relationship Type="http://schemas.openxmlformats.org/officeDocument/2006/relationships/hyperlink" Target="http://www.library.parliament.go.th" TargetMode="External" Id="rId101" /><Relationship Type="http://schemas.openxmlformats.org/officeDocument/2006/relationships/hyperlink" Target="http://www.ops.moc.go.th" TargetMode="External" Id="rId102" /><Relationship Type="http://schemas.openxmlformats.org/officeDocument/2006/relationships/hyperlink" Target="http://www.baanfinder.com" TargetMode="External" Id="rId103" /><Relationship Type="http://schemas.openxmlformats.org/officeDocument/2006/relationships/hyperlink" Target="http://www.mreport.co.th" TargetMode="External" Id="rId104" /><Relationship Type="http://schemas.openxmlformats.org/officeDocument/2006/relationships/hyperlink" Target="http://www.orst.go.th" TargetMode="External" Id="rId105" /><Relationship Type="http://schemas.openxmlformats.org/officeDocument/2006/relationships/hyperlink" Target="http://www.thaihealth.or.th" TargetMode="External" Id="rId106" /><Relationship Type="http://schemas.openxmlformats.org/officeDocument/2006/relationships/hyperlink" Target="http://www.admincourt.go.th" TargetMode="External" Id="rId107" /><Relationship Type="http://schemas.openxmlformats.org/officeDocument/2006/relationships/hyperlink" Target="http://www4.fisheries.go.th" TargetMode="External" Id="rId108" /><Relationship Type="http://schemas.openxmlformats.org/officeDocument/2006/relationships/hyperlink" Target="http://www.moc.go.th" TargetMode="External" Id="rId109" /><Relationship Type="http://schemas.openxmlformats.org/officeDocument/2006/relationships/hyperlink" Target="http://healthserv.net" TargetMode="External" Id="rId110" /><Relationship Type="http://schemas.openxmlformats.org/officeDocument/2006/relationships/hyperlink" Target="http://www.rvp.co.th" TargetMode="External" Id="rId111" /><Relationship Type="http://schemas.openxmlformats.org/officeDocument/2006/relationships/hyperlink" Target="http://www.paiduaykan.com" TargetMode="External" Id="rId112" /><Relationship Type="http://schemas.openxmlformats.org/officeDocument/2006/relationships/hyperlink" Target="http://www.condonewb.com" TargetMode="External" Id="rId113" /><Relationship Type="http://schemas.openxmlformats.org/officeDocument/2006/relationships/hyperlink" Target="http://www.nstda.or.th" TargetMode="External" Id="rId114" /><Relationship Type="http://schemas.openxmlformats.org/officeDocument/2006/relationships/hyperlink" Target="http://www.ldd.go.th" TargetMode="External" Id="rId115" /><Relationship Type="http://schemas.openxmlformats.org/officeDocument/2006/relationships/hyperlink" Target="http://feedforfuture.co" TargetMode="External" Id="rId116" /><Relationship Type="http://schemas.openxmlformats.org/officeDocument/2006/relationships/hyperlink" Target="http://www.redcross.or.th" TargetMode="External" Id="rId117" /><Relationship Type="http://schemas.openxmlformats.org/officeDocument/2006/relationships/hyperlink" Target="http://ebm.co.th" TargetMode="External" Id="rId118" /><Relationship Type="http://schemas.openxmlformats.org/officeDocument/2006/relationships/hyperlink" Target="http://www.pharmacy.mahidol.ac.th" TargetMode="External" Id="rId119" /><Relationship Type="http://schemas.openxmlformats.org/officeDocument/2006/relationships/hyperlink" Target="http://thailand.go.th" TargetMode="External" Id="rId120" /><Relationship Type="http://schemas.openxmlformats.org/officeDocument/2006/relationships/hyperlink" Target="http://www.motorexpo.co.th" TargetMode="External" Id="rId121" /><Relationship Type="http://schemas.openxmlformats.org/officeDocument/2006/relationships/hyperlink" Target="http://www.dhammajak.net" TargetMode="External" Id="rId122" /><Relationship Type="http://schemas.openxmlformats.org/officeDocument/2006/relationships/hyperlink" Target="http://www.jrmotor.com" TargetMode="External" Id="rId123" /><Relationship Type="http://schemas.openxmlformats.org/officeDocument/2006/relationships/hyperlink" Target="http://www.pim24.co.th" TargetMode="External" Id="rId124" /><Relationship Type="http://schemas.openxmlformats.org/officeDocument/2006/relationships/hyperlink" Target="http://www.kitchenwaremarket.com" TargetMode="External" Id="rId125" /><Relationship Type="http://schemas.openxmlformats.org/officeDocument/2006/relationships/hyperlink" Target="http://www.rakluke.com" TargetMode="External" Id="rId126" /><Relationship Type="http://schemas.openxmlformats.org/officeDocument/2006/relationships/hyperlink" Target="http://www.aimc.or.th" TargetMode="External" Id="rId127" /><Relationship Type="http://schemas.openxmlformats.org/officeDocument/2006/relationships/hyperlink" Target="http://doctorathome.com" TargetMode="External" Id="rId128" /><Relationship Type="http://schemas.openxmlformats.org/officeDocument/2006/relationships/hyperlink" Target="http://babyswimmingthailand.com" TargetMode="External" Id="rId129" /><Relationship Type="http://schemas.openxmlformats.org/officeDocument/2006/relationships/hyperlink" Target="http://carbatterycb.com" TargetMode="External" Id="rId130" /><Relationship Type="http://schemas.openxmlformats.org/officeDocument/2006/relationships/hyperlink" Target="http://www.nimt.or.th" TargetMode="External" Id="rId131" /><Relationship Type="http://schemas.openxmlformats.org/officeDocument/2006/relationships/hyperlink" Target="http://seminardd.com" TargetMode="External" Id="rId132" /><Relationship Type="http://schemas.openxmlformats.org/officeDocument/2006/relationships/hyperlink" Target="http://www.amlo.go.th" TargetMode="External" Id="rId133" /><Relationship Type="http://schemas.openxmlformats.org/officeDocument/2006/relationships/hyperlink" Target="http://www.techoffside.com" TargetMode="External" Id="rId134" /><Relationship Type="http://schemas.openxmlformats.org/officeDocument/2006/relationships/hyperlink" Target="http://www.thai-tour.com" TargetMode="External" Id="rId135" /><Relationship Type="http://schemas.openxmlformats.org/officeDocument/2006/relationships/hyperlink" Target="http://www.mot.go.th" TargetMode="External" Id="rId136" /><Relationship Type="http://schemas.openxmlformats.org/officeDocument/2006/relationships/hyperlink" Target="http://www.weekendhobby.com" TargetMode="External" Id="rId137" /><Relationship Type="http://schemas.openxmlformats.org/officeDocument/2006/relationships/hyperlink" Target="http://www.nanosoft.co.th" TargetMode="External" Id="rId138" /><Relationship Type="http://schemas.openxmlformats.org/officeDocument/2006/relationships/hyperlink" Target="http://www.dcce.go.th" TargetMode="External" Id="rId139" /><Relationship Type="http://schemas.openxmlformats.org/officeDocument/2006/relationships/hyperlink" Target="http://www.entraining.net" TargetMode="External" Id="rId140" /><Relationship Type="http://schemas.openxmlformats.org/officeDocument/2006/relationships/hyperlink" Target="http://www.mamaexpert.com" TargetMode="External" Id="rId141" /><Relationship Type="http://schemas.openxmlformats.org/officeDocument/2006/relationships/hyperlink" Target="http://www.lensowheel.co.th" TargetMode="External" Id="rId142" /><Relationship Type="http://schemas.openxmlformats.org/officeDocument/2006/relationships/hyperlink" Target="http://tpso.go.th" TargetMode="External" Id="rId143" /><Relationship Type="http://schemas.openxmlformats.org/officeDocument/2006/relationships/hyperlink" Target="http://www.tistr.or.th" TargetMode="External" Id="rId144" /><Relationship Type="http://schemas.openxmlformats.org/officeDocument/2006/relationships/hyperlink" Target="http://www.thaiclinic.com" TargetMode="External" Id="rId145" /><Relationship Type="http://schemas.openxmlformats.org/officeDocument/2006/relationships/hyperlink" Target="http://www.ball-lock.com" TargetMode="External" Id="rId146" /><Relationship Type="http://schemas.openxmlformats.org/officeDocument/2006/relationships/hyperlink" Target="http://www.premacare.co.th" TargetMode="External" Id="rId147" /><Relationship Type="http://schemas.openxmlformats.org/officeDocument/2006/relationships/hyperlink" Target="http://www.brr.ac.th" TargetMode="External" Id="rId148" /><Relationship Type="http://schemas.openxmlformats.org/officeDocument/2006/relationships/hyperlink" Target="http://www.onlb.go.th" TargetMode="External" Id="rId149" /><Relationship Type="http://schemas.openxmlformats.org/officeDocument/2006/relationships/hyperlink" Target="http://www.onec.go.th" TargetMode="External" Id="rId150" /><Relationship Type="http://schemas.openxmlformats.org/officeDocument/2006/relationships/hyperlink" Target="http://www.reic.or.th" TargetMode="External" Id="rId151" /><Relationship Type="http://schemas.openxmlformats.org/officeDocument/2006/relationships/hyperlink" Target="http://www.koratdaily.com" TargetMode="External" Id="rId152" /><Relationship Type="http://schemas.openxmlformats.org/officeDocument/2006/relationships/hyperlink" Target="http://www.obec.go.th" TargetMode="External" Id="rId153" /><Relationship Type="http://schemas.openxmlformats.org/officeDocument/2006/relationships/hyperlink" Target="http://www.moi.go.th" TargetMode="External" Id="rId154" /><Relationship Type="http://schemas.openxmlformats.org/officeDocument/2006/relationships/hyperlink" Target="http://kindeeyunuea.com" TargetMode="External" Id="rId155" /><Relationship Type="http://schemas.openxmlformats.org/officeDocument/2006/relationships/hyperlink" Target="http://rukkroo.com" TargetMode="External" Id="rId156" /><Relationship Type="http://schemas.openxmlformats.org/officeDocument/2006/relationships/hyperlink" Target="http://www.sbdc.co.th" TargetMode="External" Id="rId157" /><Relationship Type="http://schemas.openxmlformats.org/officeDocument/2006/relationships/hyperlink" Target="http://www.thaicarlover.com" TargetMode="External" Id="rId158" /><Relationship Type="http://schemas.openxmlformats.org/officeDocument/2006/relationships/hyperlink" Target="http://www.shecu.chula.ac.th" TargetMode="External" Id="rId159" /><Relationship Type="http://schemas.openxmlformats.org/officeDocument/2006/relationships/hyperlink" Target="http://www.bangkoklifenews.com" TargetMode="External" Id="rId160" /><Relationship Type="http://schemas.openxmlformats.org/officeDocument/2006/relationships/hyperlink" Target="http://yellow.co.th" TargetMode="External" Id="rId161" /><Relationship Type="http://schemas.openxmlformats.org/officeDocument/2006/relationships/hyperlink" Target="http://nbm.co.th" TargetMode="External" Id="rId162" /><Relationship Type="http://schemas.openxmlformats.org/officeDocument/2006/relationships/hyperlink" Target="http://www.git.or.th" TargetMode="External" Id="rId163" /><Relationship Type="http://schemas.openxmlformats.org/officeDocument/2006/relationships/hyperlink" Target="http://www.108engine.com" TargetMode="External" Id="rId164" /><Relationship Type="http://schemas.openxmlformats.org/officeDocument/2006/relationships/hyperlink" Target="http://www.jtdic.com" TargetMode="External" Id="rId165" /><Relationship Type="http://schemas.openxmlformats.org/officeDocument/2006/relationships/hyperlink" Target="http://thaigold.info" TargetMode="External" Id="rId166" /><Relationship Type="http://schemas.openxmlformats.org/officeDocument/2006/relationships/hyperlink" Target="http://www.moj.go.th" TargetMode="External" Id="rId167" /><Relationship Type="http://schemas.openxmlformats.org/officeDocument/2006/relationships/hyperlink" Target="http://www.thaitrainingzone.com" TargetMode="External" Id="rId168" /><Relationship Type="http://schemas.openxmlformats.org/officeDocument/2006/relationships/hyperlink" Target="http://www.npc-se.co.th" TargetMode="External" Id="rId169" /><Relationship Type="http://schemas.openxmlformats.org/officeDocument/2006/relationships/hyperlink" Target="http://www.taradnud24.com" TargetMode="External" Id="rId170" /><Relationship Type="http://schemas.openxmlformats.org/officeDocument/2006/relationships/hyperlink" Target="http://www.smartsme.co.th" TargetMode="External" Id="rId171" /><Relationship Type="http://schemas.openxmlformats.org/officeDocument/2006/relationships/hyperlink" Target="http://www.mocyc.com" TargetMode="External" Id="rId172" /><Relationship Type="http://schemas.openxmlformats.org/officeDocument/2006/relationships/hyperlink" Target="http://www.igetweb.com" TargetMode="External" Id="rId173" /><Relationship Type="http://schemas.openxmlformats.org/officeDocument/2006/relationships/hyperlink" Target="http://www.doisaengdham.org" TargetMode="External" Id="rId174" /><Relationship Type="http://schemas.openxmlformats.org/officeDocument/2006/relationships/hyperlink" Target="http://thereporters.co" TargetMode="External" Id="rId175" /><Relationship Type="http://schemas.openxmlformats.org/officeDocument/2006/relationships/hyperlink" Target="http://roonnhaidee.com" TargetMode="External" Id="rId176" /><Relationship Type="http://schemas.openxmlformats.org/officeDocument/2006/relationships/hyperlink" Target="http://www.thaismescenter.com" TargetMode="External" Id="rId177" /><Relationship Type="http://schemas.openxmlformats.org/officeDocument/2006/relationships/hyperlink" Target="http://www.otp.go.th" TargetMode="External" Id="rId178" /><Relationship Type="http://schemas.openxmlformats.org/officeDocument/2006/relationships/hyperlink" Target="http://www.bareo.co.th" TargetMode="External" Id="rId179" /><Relationship Type="http://schemas.openxmlformats.org/officeDocument/2006/relationships/hyperlink" Target="http://www.vtabien.com" TargetMode="External" Id="rId180" /><Relationship Type="http://schemas.openxmlformats.org/officeDocument/2006/relationships/hyperlink" Target="http://www.taladnudbaan.com" TargetMode="External" Id="rId181" /><Relationship Type="http://schemas.openxmlformats.org/officeDocument/2006/relationships/hyperlink" Target="http://www.dhammathai.org" TargetMode="External" Id="rId182" /><Relationship Type="http://schemas.openxmlformats.org/officeDocument/2006/relationships/hyperlink" Target="http://slri.or.th" TargetMode="External" Id="rId183" /><Relationship Type="http://schemas.openxmlformats.org/officeDocument/2006/relationships/hyperlink" Target="http://www.perdsorbtoday.com" TargetMode="External" Id="rId184" /><Relationship Type="http://schemas.openxmlformats.org/officeDocument/2006/relationships/hyperlink" Target="http://www.perfectcarthailand.com" TargetMode="External" Id="rId185" /><Relationship Type="http://schemas.openxmlformats.org/officeDocument/2006/relationships/hyperlink" Target="http://www.khobsanam.com" TargetMode="External" Id="rId186" /><Relationship Type="http://schemas.openxmlformats.org/officeDocument/2006/relationships/hyperlink" Target="http://www.nmm.ac.th" TargetMode="External" Id="rId187" /><Relationship Type="http://schemas.openxmlformats.org/officeDocument/2006/relationships/hyperlink" Target="http://www.thaitravelcenter.com" TargetMode="External" Id="rId188" /><Relationship Type="http://schemas.openxmlformats.org/officeDocument/2006/relationships/hyperlink" Target="http://higher.co.th" TargetMode="External" Id="rId189" /><Relationship Type="http://schemas.openxmlformats.org/officeDocument/2006/relationships/hyperlink" Target="http://www.sirindhorn.net" TargetMode="External" Id="rId190" /><Relationship Type="http://schemas.openxmlformats.org/officeDocument/2006/relationships/hyperlink" Target="http://www.mahamodo.com/" TargetMode="External" Id="rId191" /><Relationship Type="http://schemas.openxmlformats.org/officeDocument/2006/relationships/hyperlink" Target="http://www.dld.go.th" TargetMode="External" Id="rId192" /><Relationship Type="http://schemas.openxmlformats.org/officeDocument/2006/relationships/hyperlink" Target="http://www.onep.go.th" TargetMode="External" Id="rId193" /><Relationship Type="http://schemas.openxmlformats.org/officeDocument/2006/relationships/hyperlink" Target="http://www.hometophit.com" TargetMode="External" Id="rId194" /><Relationship Type="http://schemas.openxmlformats.org/officeDocument/2006/relationships/hyperlink" Target="http://www.rocketsound.co.th" TargetMode="External" Id="rId195" /><Relationship Type="http://schemas.openxmlformats.org/officeDocument/2006/relationships/hyperlink" Target="http://www.colo.in.th" TargetMode="External" Id="rId196" /><Relationship Type="http://schemas.openxmlformats.org/officeDocument/2006/relationships/hyperlink" Target="http://ninemove.com" TargetMode="External" Id="rId197" /><Relationship Type="http://schemas.openxmlformats.org/officeDocument/2006/relationships/hyperlink" Target="http://racingweb.net" TargetMode="External" Id="rId198" /><Relationship Type="http://schemas.openxmlformats.org/officeDocument/2006/relationships/hyperlink" Target="http://www.avtechguide.com" TargetMode="External" Id="rId199" /><Relationship Type="http://schemas.openxmlformats.org/officeDocument/2006/relationships/hyperlink" Target="http://www.totiptv.com" TargetMode="External" Id="rId200" /><Relationship Type="http://schemas.openxmlformats.org/officeDocument/2006/relationships/hyperlink" Target="http://www.tartoh.com" TargetMode="External" Id="rId201" /><Relationship Type="http://schemas.openxmlformats.org/officeDocument/2006/relationships/hyperlink" Target="http://thaitechno.net" TargetMode="External" Id="rId202" /><Relationship Type="http://schemas.openxmlformats.org/officeDocument/2006/relationships/hyperlink" Target="http://aobmobile.net" TargetMode="External" Id="rId203" /><Relationship Type="http://schemas.openxmlformats.org/officeDocument/2006/relationships/hyperlink" Target="http://www.dooasia.com" TargetMode="External" Id="rId204" /><Relationship Type="http://schemas.openxmlformats.org/officeDocument/2006/relationships/hyperlink" Target="http://www.presscouncil.or.th" TargetMode="External" Id="rId205" /><Relationship Type="http://schemas.openxmlformats.org/officeDocument/2006/relationships/hyperlink" Target="http://www.edctravel.co.th" TargetMode="External" Id="rId206" /><Relationship Type="http://schemas.openxmlformats.org/officeDocument/2006/relationships/hyperlink" Target="http://www.kanlayano.org" TargetMode="External" Id="rId207" /><Relationship Type="http://schemas.openxmlformats.org/officeDocument/2006/relationships/hyperlink" Target="http://www.dara2you.com" TargetMode="External" Id="rId208" /><Relationship Type="http://schemas.openxmlformats.org/officeDocument/2006/relationships/hyperlink" Target="http://clinictech.ops.go.th" TargetMode="External" Id="rId209" /><Relationship Type="http://schemas.openxmlformats.org/officeDocument/2006/relationships/hyperlink" Target="http://www.siamliverpool.club" TargetMode="External" Id="rId210" /><Relationship Type="http://schemas.openxmlformats.org/officeDocument/2006/relationships/hyperlink" Target="http://www.moomove.com" TargetMode="External" Id="rId211" /><Relationship Type="http://schemas.openxmlformats.org/officeDocument/2006/relationships/hyperlink" Target="http://www.hamanan.com" TargetMode="External" Id="rId212" /><Relationship Type="http://schemas.openxmlformats.org/officeDocument/2006/relationships/hyperlink" Target="http://www.vmodtech.com" TargetMode="External" Id="rId213" /><Relationship Type="http://schemas.openxmlformats.org/officeDocument/2006/relationships/hyperlink" Target="http://www.suanboard.net" TargetMode="External" Id="rId214" /><Relationship Type="http://schemas.openxmlformats.org/officeDocument/2006/relationships/hyperlink" Target="http://www.debutmail.com" TargetMode="External" Id="rId215" /><Relationship Type="http://schemas.openxmlformats.org/officeDocument/2006/relationships/hyperlink" Target="http://www.mono-mobile.com" TargetMode="External" Id="rId216" /><Relationship Type="http://schemas.openxmlformats.org/officeDocument/2006/relationships/hyperlink" Target="http://www.bangkokpost.co.th" TargetMode="External" Id="rId217" /><Relationship Type="http://schemas.openxmlformats.org/officeDocument/2006/relationships/hyperlink" Target="http://www.pharmacafe.com" TargetMode="External" Id="rId218" /><Relationship Type="http://schemas.openxmlformats.org/officeDocument/2006/relationships/hyperlink" Target="http://www.somkiet.com" TargetMode="External" Id="rId219" /><Relationship Type="http://schemas.openxmlformats.org/officeDocument/2006/relationships/hyperlink" Target="http://www.tddf.or.th" TargetMode="External" Id="rId220" /><Relationship Type="http://schemas.openxmlformats.org/officeDocument/2006/relationships/hyperlink" Target="http://www.showwallpaper.com" TargetMode="External" Id="rId221" /><Relationship Type="http://schemas.openxmlformats.org/officeDocument/2006/relationships/hyperlink" Target="http://www.thaiall.com" TargetMode="External" Id="rId222" /><Relationship Type="http://schemas.openxmlformats.org/officeDocument/2006/relationships/hyperlink" Target="http://www.winpickup.com" TargetMode="External" Id="rId223" /><Relationship Type="http://schemas.openxmlformats.org/officeDocument/2006/relationships/hyperlink" Target="http://www.sme.go.th" TargetMode="External" Id="rId224" /><Relationship Type="http://schemas.openxmlformats.org/officeDocument/2006/relationships/hyperlink" Target="http://www.qsbg.org" TargetMode="External" Id="rId225" /><Relationship Type="http://schemas.openxmlformats.org/officeDocument/2006/relationships/hyperlink" Target="http://vsm365.com" TargetMode="External" Id="rId226" /><Relationship Type="http://schemas.openxmlformats.org/officeDocument/2006/relationships/hyperlink" Target="http://www.smiletransport.com" TargetMode="External" Id="rId227" /><Relationship Type="http://schemas.openxmlformats.org/officeDocument/2006/relationships/hyperlink" Target="http://www.tourphetchabun.com" TargetMode="External" Id="rId228" /><Relationship Type="http://schemas.openxmlformats.org/officeDocument/2006/relationships/hyperlink" Target="http://www.siamstamp.com" TargetMode="External" Id="rId229" /><Relationship Type="http://schemas.openxmlformats.org/officeDocument/2006/relationships/hyperlink" Target="http://www.carvariety.com" TargetMode="External" Id="rId230" /><Relationship Type="http://schemas.openxmlformats.org/officeDocument/2006/relationships/hyperlink" Target="http://appleforward.com" TargetMode="External" Id="rId231" /><Relationship Type="http://schemas.openxmlformats.org/officeDocument/2006/relationships/hyperlink" Target="http://www.stockwave.in.th" TargetMode="External" Id="rId232" /><Relationship Type="http://schemas.openxmlformats.org/officeDocument/2006/relationships/hyperlink" Target="http://thaicontractor.com" TargetMode="External" Id="rId233" /><Relationship Type="http://schemas.openxmlformats.org/officeDocument/2006/relationships/hyperlink" Target="http://www.n-content.com" TargetMode="External" Id="rId234" /><Relationship Type="http://schemas.openxmlformats.org/officeDocument/2006/relationships/hyperlink" Target="http://www.siamshop.com" TargetMode="External" Id="rId235" /><Relationship Type="http://schemas.openxmlformats.org/officeDocument/2006/relationships/hyperlink" Target="http://www.stormclub.com" TargetMode="External" Id="rId236" /><Relationship Type="http://schemas.openxmlformats.org/officeDocument/2006/relationships/hyperlink" Target="http://www.mydrmobile.com" TargetMode="External" Id="rId237" /><Relationship Type="http://schemas.openxmlformats.org/officeDocument/2006/relationships/hyperlink" Target="http://www.baanruktalay.com" TargetMode="External" Id="rId238" /><Relationship Type="http://schemas.openxmlformats.org/officeDocument/2006/relationships/hyperlink" Target="http://www.rid.go.th" TargetMode="External" Id="rId239" /><Relationship Type="http://schemas.openxmlformats.org/officeDocument/2006/relationships/hyperlink" Target="http://www.freethailand.com" TargetMode="External" Id="rId240" /><Relationship Type="http://schemas.openxmlformats.org/officeDocument/2006/relationships/hyperlink" Target="http://www.queensavang.org" TargetMode="External" Id="rId241" /><Relationship Type="http://schemas.openxmlformats.org/officeDocument/2006/relationships/hyperlink" Target="http://thaitohken.co.th" TargetMode="External" Id="rId242" /><Relationship Type="http://schemas.openxmlformats.org/officeDocument/2006/relationships/hyperlink" Target="http://www.thaimutualfund.com" TargetMode="External" Id="rId243" /><Relationship Type="http://schemas.openxmlformats.org/officeDocument/2006/relationships/hyperlink" Target="http://www.sombunwit.ac.th" TargetMode="External" Id="rId244" /><Relationship Type="http://schemas.openxmlformats.org/officeDocument/2006/relationships/hyperlink" Target="http://www.e-abroad.com" TargetMode="External" Id="rId245" /><Relationship Type="http://schemas.openxmlformats.org/officeDocument/2006/relationships/hyperlink" Target="http://www.qsbg.or.th" TargetMode="External" Id="rId246" /><Relationship Type="http://schemas.openxmlformats.org/officeDocument/2006/relationships/hyperlink" Target="http://stonemetalfire.com" TargetMode="External" Id="rId247" /><Relationship Type="http://schemas.openxmlformats.org/officeDocument/2006/relationships/hyperlink" Target="http://www.thaiabc.com" TargetMode="External" Id="rId248" /><Relationship Type="http://schemas.openxmlformats.org/officeDocument/2006/relationships/hyperlink" Target="http://www.friend.co.th" TargetMode="External" Id="rId249" /><Relationship Type="http://schemas.openxmlformats.org/officeDocument/2006/relationships/hyperlink" Target="http://kanchanapisek.or.th" TargetMode="External" Id="rId250" /><Relationship Type="http://schemas.openxmlformats.org/officeDocument/2006/relationships/hyperlink" Target="http://liketabien.com" TargetMode="External" Id="rId251" /><Relationship Type="http://schemas.openxmlformats.org/officeDocument/2006/relationships/hyperlink" Target="http://www.thaionepiece.com" TargetMode="External" Id="rId252" /><Relationship Type="http://schemas.openxmlformats.org/officeDocument/2006/relationships/hyperlink" Target="http://Multi-Smart.com" TargetMode="External" Id="rId253" /><Relationship Type="http://schemas.openxmlformats.org/officeDocument/2006/relationships/hyperlink" Target="http://nstdachannel.tv" TargetMode="External" Id="rId254" /><Relationship Type="http://schemas.openxmlformats.org/officeDocument/2006/relationships/hyperlink" Target="http://www.thaisync.com" TargetMode="External" Id="rId255" /><Relationship Type="http://schemas.openxmlformats.org/officeDocument/2006/relationships/hyperlink" Target="http://www.JarungJai.com" TargetMode="External" Id="rId256" /><Relationship Type="http://schemas.openxmlformats.org/officeDocument/2006/relationships/hyperlink" Target="http://www.fpo.go.th" TargetMode="External" Id="rId257" /><Relationship Type="http://schemas.openxmlformats.org/officeDocument/2006/relationships/hyperlink" Target="http://www.culture.go.th" TargetMode="External" Id="rId258" /><Relationship Type="http://schemas.openxmlformats.org/officeDocument/2006/relationships/hyperlink" Target="http://puppada.com" TargetMode="External" Id="rId259" /><Relationship Type="http://schemas.openxmlformats.org/officeDocument/2006/relationships/hyperlink" Target="http://www.drboonchai.com" TargetMode="External" Id="rId260" /><Relationship Type="http://schemas.openxmlformats.org/officeDocument/2006/relationships/hyperlink" Target="http://www.thainame.net" TargetMode="External" Id="rId261" /><Relationship Type="http://schemas.openxmlformats.org/officeDocument/2006/relationships/hyperlink" Target="http://www.musicatm.com/" TargetMode="External" Id="rId262" /><Relationship Type="http://schemas.openxmlformats.org/officeDocument/2006/relationships/hyperlink" Target="http://www.gasthai.com" TargetMode="External" Id="rId263" /><Relationship Type="http://schemas.openxmlformats.org/officeDocument/2006/relationships/hyperlink" Target="http://www.hd-playground.com" TargetMode="External" Id="rId264" /><Relationship Type="http://schemas.openxmlformats.org/officeDocument/2006/relationships/hyperlink" Target="http://www.thaiorc.com" TargetMode="External" Id="rId265" /><Relationship Type="http://schemas.openxmlformats.org/officeDocument/2006/relationships/hyperlink" Target="http://www.banramthai.com" TargetMode="External" Id="rId266" /><Relationship Type="http://schemas.openxmlformats.org/officeDocument/2006/relationships/hyperlink" Target="http://www.nano-machinery.com" TargetMode="External" Id="rId267" /><Relationship Type="http://schemas.openxmlformats.org/officeDocument/2006/relationships/hyperlink" Target="http://www.uncle-chorn.com" TargetMode="External" Id="rId268" /><Relationship Type="http://schemas.openxmlformats.org/officeDocument/2006/relationships/hyperlink" Target="http://siamhealth.net" TargetMode="External" Id="rId269" /><Relationship Type="http://schemas.openxmlformats.org/officeDocument/2006/relationships/hyperlink" Target="http://pantip.com/tech" TargetMode="External" Id="rId270" /><Relationship Type="http://schemas.openxmlformats.org/officeDocument/2006/relationships/hyperlink" Target="http://www.muaythai2000.com" TargetMode="External" Id="rId271" /><Relationship Type="http://schemas.openxmlformats.org/officeDocument/2006/relationships/hyperlink" Target="http://www.k-heuer.com" TargetMode="External" Id="rId272" /><Relationship Type="http://schemas.openxmlformats.org/officeDocument/2006/relationships/hyperlink" Target="http://www.nkgen.com" TargetMode="External" Id="rId273" /><Relationship Type="http://schemas.openxmlformats.org/officeDocument/2006/relationships/hyperlink" Target="http://www.bectero.com" TargetMode="External" Id="rId274" /><Relationship Type="http://schemas.openxmlformats.org/officeDocument/2006/relationships/hyperlink" Target="http://www.thaiddns.com" TargetMode="External" Id="rId275" /><Relationship Type="http://schemas.openxmlformats.org/officeDocument/2006/relationships/hyperlink" Target="http://www.engr.tu.ac.th" TargetMode="External" Id="rId276" /><Relationship Type="http://schemas.openxmlformats.org/officeDocument/2006/relationships/hyperlink" Target="http://www.student-weekly.com" TargetMode="External" Id="rId277" /><Relationship Type="http://schemas.openxmlformats.org/officeDocument/2006/relationships/hyperlink" Target="http://www.prsociety.net" TargetMode="External" Id="rId278" /><Relationship Type="http://schemas.openxmlformats.org/officeDocument/2006/relationships/hyperlink" Target="http://www.bangkokdentalhospital.com" TargetMode="External" Id="rId279" /><Relationship Type="http://schemas.openxmlformats.org/officeDocument/2006/relationships/hyperlink" Target="http://siweb1.dss.go.th" TargetMode="External" Id="rId280" /><Relationship Type="http://schemas.openxmlformats.org/officeDocument/2006/relationships/hyperlink" Target="http://www.rmutt.ac.th" TargetMode="External" Id="rId281" /><Relationship Type="http://schemas.openxmlformats.org/officeDocument/2006/relationships/hyperlink" Target="http://www.thailandcube.com" TargetMode="External" Id="rId282" /><Relationship Type="http://schemas.openxmlformats.org/officeDocument/2006/relationships/hyperlink" Target="http://www.cw.in.th" TargetMode="External" Id="rId283" /><Relationship Type="http://schemas.openxmlformats.org/officeDocument/2006/relationships/hyperlink" Target="http://www.thaipattern.com" TargetMode="External" Id="rId284" /><Relationship Type="http://schemas.openxmlformats.org/officeDocument/2006/relationships/hyperlink" Target="http://www.stou.ac.th" TargetMode="External" Id="rId285" /><Relationship Type="http://schemas.openxmlformats.org/officeDocument/2006/relationships/hyperlink" Target="http://www.m-society.go.th" TargetMode="External" Id="rId286" /><Relationship Type="http://schemas.openxmlformats.org/officeDocument/2006/relationships/hyperlink" Target="http://www.chomthai.com" TargetMode="External" Id="rId287" /><Relationship Type="http://schemas.openxmlformats.org/officeDocument/2006/relationships/hyperlink" Target="http://www.innnews.co.th" TargetMode="External" Id="rId288" /><Relationship Type="http://schemas.openxmlformats.org/officeDocument/2006/relationships/hyperlink" Target="http://www.thaitechnics.com" TargetMode="External" Id="rId289" /><Relationship Type="http://schemas.openxmlformats.org/officeDocument/2006/relationships/hyperlink" Target="http://bitcointhailand.org" TargetMode="External" Id="rId290" /><Relationship Type="http://schemas.openxmlformats.org/officeDocument/2006/relationships/hyperlink" Target="http://www.broadcastthai.com" TargetMode="External" Id="rId291" /><Relationship Type="http://schemas.openxmlformats.org/officeDocument/2006/relationships/hyperlink" Target="http://www.makewebeasy.com" TargetMode="External" Id="rId292" /><Relationship Type="http://schemas.openxmlformats.org/officeDocument/2006/relationships/hyperlink" Target="http://www.toplinediamond.com" TargetMode="External" Id="rId293" /><Relationship Type="http://schemas.openxmlformats.org/officeDocument/2006/relationships/hyperlink" Target="http://hkmyleaf.com" TargetMode="External" Id="rId294" /><Relationship Type="http://schemas.openxmlformats.org/officeDocument/2006/relationships/hyperlink" Target="http://www.thaifitway.com" TargetMode="External" Id="rId295" /><Relationship Type="http://schemas.openxmlformats.org/officeDocument/2006/relationships/hyperlink" Target="http://www.chemtrack.org" TargetMode="External" Id="rId296" /><Relationship Type="http://schemas.openxmlformats.org/officeDocument/2006/relationships/hyperlink" Target="http://www.thaibadminton.com" TargetMode="External" Id="rId297" /><Relationship Type="http://schemas.openxmlformats.org/officeDocument/2006/relationships/hyperlink" Target="http://www.goldenliving.co.th" TargetMode="External" Id="rId298" /><Relationship Type="http://schemas.openxmlformats.org/officeDocument/2006/relationships/hyperlink" Target="http://www.archeep.com" TargetMode="External" Id="rId299" /><Relationship Type="http://schemas.openxmlformats.org/officeDocument/2006/relationships/hyperlink" Target="http://www.taradthong.com" TargetMode="External" Id="rId300" /><Relationship Type="http://schemas.openxmlformats.org/officeDocument/2006/relationships/hyperlink" Target="http://www.pcd.go.th" TargetMode="External" Id="rId301" /><Relationship Type="http://schemas.openxmlformats.org/officeDocument/2006/relationships/hyperlink" Target="http://www.baanraiingdoi.net" TargetMode="External" Id="rId302" /><Relationship Type="http://schemas.openxmlformats.org/officeDocument/2006/relationships/hyperlink" Target="http://www.thaihoon.com" TargetMode="External" Id="rId303" /><Relationship Type="http://schemas.openxmlformats.org/officeDocument/2006/relationships/hyperlink" Target="http://www.ntep2008.com" TargetMode="External" Id="rId304" /><Relationship Type="http://schemas.openxmlformats.org/officeDocument/2006/relationships/hyperlink" Target="http://www.gotomanager.com" TargetMode="External" Id="rId305" /><Relationship Type="http://schemas.openxmlformats.org/officeDocument/2006/relationships/hyperlink" Target="http://www.roytawan.com" TargetMode="External" Id="rId306" /><Relationship Type="http://schemas.openxmlformats.org/officeDocument/2006/relationships/hyperlink" Target="http://witty.co.th" TargetMode="External" Id="rId307" /><Relationship Type="http://schemas.openxmlformats.org/officeDocument/2006/relationships/hyperlink" Target="http://www.riannok.com" TargetMode="External" Id="rId308" /><Relationship Type="http://schemas.openxmlformats.org/officeDocument/2006/relationships/hyperlink" Target="http://www.magcartoon.com" TargetMode="External" Id="rId309" /><Relationship Type="http://schemas.openxmlformats.org/officeDocument/2006/relationships/hyperlink" Target="http://www.exim.go.th" TargetMode="External" Id="rId310" /><Relationship Type="http://schemas.openxmlformats.org/officeDocument/2006/relationships/hyperlink" Target="http://www.guideubon.com" TargetMode="External" Id="rId311" /><Relationship Type="http://schemas.openxmlformats.org/officeDocument/2006/relationships/hyperlink" Target="http://www.sec-plkutt.go.th" TargetMode="External" Id="rId312" /><Relationship Type="http://schemas.openxmlformats.org/officeDocument/2006/relationships/hyperlink" Target="http://www.lib.ru.ac.th" TargetMode="External" Id="rId313" /><Relationship Type="http://schemas.openxmlformats.org/officeDocument/2006/relationships/hyperlink" Target="http://www.icez.net" TargetMode="External" Id="rId314" /><Relationship Type="http://schemas.openxmlformats.org/officeDocument/2006/relationships/hyperlink" Target="http://www.clc.ac.th" TargetMode="External" Id="rId315" /><Relationship Type="http://schemas.openxmlformats.org/officeDocument/2006/relationships/hyperlink" Target="http://www.moradokislam.org" TargetMode="External" Id="rId316" /><Relationship Type="http://schemas.openxmlformats.org/officeDocument/2006/relationships/hyperlink" Target="http://www.bloggang.com" TargetMode="External" Id="rId317" /><Relationship Type="http://schemas.openxmlformats.org/officeDocument/2006/relationships/hyperlink" Target="http://www.thedigiday.com" TargetMode="External" Id="rId318" /><Relationship Type="http://schemas.openxmlformats.org/officeDocument/2006/relationships/hyperlink" Target="http://www.pahdongdoy.com" TargetMode="External" Id="rId319" /><Relationship Type="http://schemas.openxmlformats.org/officeDocument/2006/relationships/hyperlink" Target="http://www.thaicadet.org" TargetMode="External" Id="rId320" /><Relationship Type="http://schemas.openxmlformats.org/officeDocument/2006/relationships/hyperlink" Target="http://tanutrading.com" TargetMode="External" Id="rId321" /><Relationship Type="http://schemas.openxmlformats.org/officeDocument/2006/relationships/hyperlink" Target="http://green.kmutt.ac.th" TargetMode="External" Id="rId322" /><Relationship Type="http://schemas.openxmlformats.org/officeDocument/2006/relationships/hyperlink" Target="http://www.dankwian.com" TargetMode="External" Id="rId323" /><Relationship Type="http://schemas.openxmlformats.org/officeDocument/2006/relationships/hyperlink" Target="http://www.evohosting.in.th" TargetMode="External" Id="rId324" /><Relationship Type="http://schemas.openxmlformats.org/officeDocument/2006/relationships/hyperlink" Target="http://www.thaicreate.com" TargetMode="External" Id="rId325" /><Relationship Type="http://schemas.openxmlformats.org/officeDocument/2006/relationships/hyperlink" Target="http://www.tutown.com" TargetMode="External" Id="rId326" /><Relationship Type="http://schemas.openxmlformats.org/officeDocument/2006/relationships/hyperlink" Target="http://www.thaiappraisal.org" TargetMode="External" Id="rId327" /><Relationship Type="http://schemas.openxmlformats.org/officeDocument/2006/relationships/hyperlink" Target="http://www.thaiscooter.com" TargetMode="External" Id="rId328" /><Relationship Type="http://schemas.openxmlformats.org/officeDocument/2006/relationships/hyperlink" Target="http://www.parn-thanaporn.com" TargetMode="External" Id="rId329" /><Relationship Type="http://schemas.openxmlformats.org/officeDocument/2006/relationships/hyperlink" Target="http://www.naiin.com" TargetMode="External" Id="rId330" /><Relationship Type="http://schemas.openxmlformats.org/officeDocument/2006/relationships/hyperlink" Target="http://www.taklong.com" TargetMode="External" Id="rId331" /><Relationship Type="http://schemas.openxmlformats.org/officeDocument/2006/relationships/hyperlink" Target="http://www.businesssoft.com" TargetMode="External" Id="rId332" /><Relationship Type="http://schemas.openxmlformats.org/officeDocument/2006/relationships/hyperlink" Target="http://swdgems.com" TargetMode="External" Id="rId333" /><Relationship Type="http://schemas.openxmlformats.org/officeDocument/2006/relationships/hyperlink" Target="http://www.bongkoch.com" TargetMode="External" Id="rId334" /><Relationship Type="http://schemas.openxmlformats.org/officeDocument/2006/relationships/hyperlink" Target="http://www.asiagenial.com" TargetMode="External" Id="rId335" /><Relationship Type="http://schemas.openxmlformats.org/officeDocument/2006/relationships/hyperlink" Target="http://www.wsjob.com" TargetMode="External" Id="rId336" /><Relationship Type="http://schemas.openxmlformats.org/officeDocument/2006/relationships/hyperlink" Target="http://www.adslthailand.com" TargetMode="External" Id="rId337" /><Relationship Type="http://schemas.openxmlformats.org/officeDocument/2006/relationships/hyperlink" Target="http://www.kradandum.com" TargetMode="External" Id="rId338" /><Relationship Type="http://schemas.openxmlformats.org/officeDocument/2006/relationships/hyperlink" Target="http://www.eppo.go.th" TargetMode="External" Id="rId339" /><Relationship Type="http://schemas.openxmlformats.org/officeDocument/2006/relationships/hyperlink" Target="http://www.online-station.net" TargetMode="External" Id="rId340" /><Relationship Type="http://schemas.openxmlformats.org/officeDocument/2006/relationships/hyperlink" Target="http://www.isangate.com" TargetMode="External" Id="rId341" /><Relationship Type="http://schemas.openxmlformats.org/officeDocument/2006/relationships/hyperlink" Target="http://kudson.com" TargetMode="External" Id="rId342" /><Relationship Type="http://schemas.openxmlformats.org/officeDocument/2006/relationships/hyperlink" Target="http://www.krumontree.com" TargetMode="External" Id="rId343" /><Relationship Type="http://schemas.openxmlformats.org/officeDocument/2006/relationships/hyperlink" Target="http://www.grad.mahidol.ac.th" TargetMode="External" Id="rId344" /><Relationship Type="http://schemas.openxmlformats.org/officeDocument/2006/relationships/hyperlink" Target="http://www.sacthailand.com" TargetMode="External" Id="rId345" /><Relationship Type="http://schemas.openxmlformats.org/officeDocument/2006/relationships/hyperlink" Target="http://www.host4thai.com" TargetMode="External" Id="rId346" /><Relationship Type="http://schemas.openxmlformats.org/officeDocument/2006/relationships/hyperlink" Target="http://www.bn.ac.th" TargetMode="External" Id="rId347" /><Relationship Type="http://schemas.openxmlformats.org/officeDocument/2006/relationships/hyperlink" Target="http://www.nonithailand.com" TargetMode="External" Id="rId348" /><Relationship Type="http://schemas.openxmlformats.org/officeDocument/2006/relationships/hyperlink" Target="http://www.thailife.com" TargetMode="External" Id="rId349" /><Relationship Type="http://schemas.openxmlformats.org/officeDocument/2006/relationships/hyperlink" Target="http://www.b4u2.com" TargetMode="External" Id="rId350" /><Relationship Type="http://schemas.openxmlformats.org/officeDocument/2006/relationships/hyperlink" Target="http://www.chibimonchronicle.net" TargetMode="External" Id="rId351" /><Relationship Type="http://schemas.openxmlformats.org/officeDocument/2006/relationships/hyperlink" Target="http://www.seal2thai.org" TargetMode="External" Id="rId352" /><Relationship Type="http://schemas.openxmlformats.org/officeDocument/2006/relationships/hyperlink" Target="http://www.thailandmaps.net" TargetMode="External" Id="rId353" /><Relationship Type="http://schemas.openxmlformats.org/officeDocument/2006/relationships/hyperlink" Target="http://www.ocsb.go.th" TargetMode="External" Id="rId354" /><Relationship Type="http://schemas.openxmlformats.org/officeDocument/2006/relationships/hyperlink" Target="http://www.glo.or.th" TargetMode="External" Id="rId355" /><Relationship Type="http://schemas.openxmlformats.org/officeDocument/2006/relationships/hyperlink" Target="http://www.thanachard.net" TargetMode="External" Id="rId356" /><Relationship Type="http://schemas.openxmlformats.org/officeDocument/2006/relationships/hyperlink" Target="http://www.thaiweddingstory.com" TargetMode="External" Id="rId357" /><Relationship Type="http://schemas.openxmlformats.org/officeDocument/2006/relationships/hyperlink" Target="http://www.reg.chula.ac.th" TargetMode="External" Id="rId358" /><Relationship Type="http://schemas.openxmlformats.org/officeDocument/2006/relationships/hyperlink" Target="http://walkrally.in.th" TargetMode="External" Id="rId359" /><Relationship Type="http://schemas.openxmlformats.org/officeDocument/2006/relationships/hyperlink" Target="http://www.doae.go.th" TargetMode="External" Id="rId360" /><Relationship Type="http://schemas.openxmlformats.org/officeDocument/2006/relationships/hyperlink" Target="http://www.mmtc.ac.th" TargetMode="External" Id="rId361" /><Relationship Type="http://schemas.openxmlformats.org/officeDocument/2006/relationships/hyperlink" Target="http://www.senate.go.th" TargetMode="External" Id="rId362" /><Relationship Type="http://schemas.openxmlformats.org/officeDocument/2006/relationships/hyperlink" Target="http://www.ThaiMTB.com" TargetMode="External" Id="rId363" /><Relationship Type="http://schemas.openxmlformats.org/officeDocument/2006/relationships/hyperlink" Target="http://www.khonthai.com" TargetMode="External" Id="rId364" /><Relationship Type="http://schemas.openxmlformats.org/officeDocument/2006/relationships/hyperlink" Target="http://www.tpa.or.th" TargetMode="External" Id="rId365" /><Relationship Type="http://schemas.openxmlformats.org/officeDocument/2006/relationships/hyperlink" Target="http://www.sathapat.com" TargetMode="External" Id="rId366" /><Relationship Type="http://schemas.openxmlformats.org/officeDocument/2006/relationships/hyperlink" Target="http://www.tourdoi.com/" TargetMode="External" Id="rId367" /><Relationship Type="http://schemas.openxmlformats.org/officeDocument/2006/relationships/hyperlink" Target="http://www.nineweb.co.th" TargetMode="External" Id="rId368" /><Relationship Type="http://schemas.openxmlformats.org/officeDocument/2006/relationships/hyperlink" Target="http://www.thaipoem.com" TargetMode="External" Id="rId369" /><Relationship Type="http://schemas.openxmlformats.org/officeDocument/2006/relationships/hyperlink" Target="http://www.bangkoksite.com" TargetMode="External" Id="rId370" /><Relationship Type="http://schemas.openxmlformats.org/officeDocument/2006/relationships/hyperlink" Target="http://www.biotec.or.th" TargetMode="External" Id="rId371" /><Relationship Type="http://schemas.openxmlformats.org/officeDocument/2006/relationships/hyperlink" Target="http://www.most.go.th" TargetMode="External" Id="rId372" /><Relationship Type="http://schemas.openxmlformats.org/officeDocument/2006/relationships/hyperlink" Target="http://thaitv5hd.com" TargetMode="External" Id="rId373" /><Relationship Type="http://schemas.openxmlformats.org/officeDocument/2006/relationships/hyperlink" Target="http://www.ttcexpert.com" TargetMode="External" Id="rId374" /><Relationship Type="http://schemas.openxmlformats.org/officeDocument/2006/relationships/hyperlink" Target="http://www.clinicrak.com" TargetMode="External" Id="rId375" /><Relationship Type="http://schemas.openxmlformats.org/officeDocument/2006/relationships/hyperlink" Target="http://www.songkwae.com" TargetMode="External" Id="rId376" /><Relationship Type="http://schemas.openxmlformats.org/officeDocument/2006/relationships/hyperlink" Target="http://www.salatanum.com" TargetMode="External" Id="rId377" /><Relationship Type="http://schemas.openxmlformats.org/officeDocument/2006/relationships/hyperlink" Target="http://www.rd.go.th" TargetMode="External" Id="rId378" /><Relationship Type="http://schemas.openxmlformats.org/officeDocument/2006/relationships/hyperlink" Target="http://www.sansarn.com" TargetMode="External" Id="rId379" /><Relationship Type="http://schemas.openxmlformats.org/officeDocument/2006/relationships/hyperlink" Target="http://www.ranchushop.com" TargetMode="External" Id="rId380" /><Relationship Type="http://schemas.openxmlformats.org/officeDocument/2006/relationships/hyperlink" Target="http://www.getcools.com" TargetMode="External" Id="rId381" /><Relationship Type="http://schemas.openxmlformats.org/officeDocument/2006/relationships/hyperlink" Target="http://picasupa.blogspot.com" TargetMode="External" Id="rId382" /><Relationship Type="http://schemas.openxmlformats.org/officeDocument/2006/relationships/hyperlink" Target="http://www.narak.com" TargetMode="External" Id="rId383" /><Relationship Type="http://schemas.openxmlformats.org/officeDocument/2006/relationships/hyperlink" Target="http://hamsiam.com" TargetMode="External" Id="rId384" /><Relationship Type="http://schemas.openxmlformats.org/officeDocument/2006/relationships/hyperlink" Target="http://www.weddinginlove.com" TargetMode="External" Id="rId385" /><Relationship Type="http://schemas.openxmlformats.org/officeDocument/2006/relationships/hyperlink" Target="http://www.easyhome.in.th" TargetMode="External" Id="rId386" /><Relationship Type="http://schemas.openxmlformats.org/officeDocument/2006/relationships/hyperlink" Target="http://www.trainingmpi.com" TargetMode="External" Id="rId387" /><Relationship Type="http://schemas.openxmlformats.org/officeDocument/2006/relationships/hyperlink" Target="http://www.parliament.go.th" TargetMode="External" Id="rId388" /><Relationship Type="http://schemas.openxmlformats.org/officeDocument/2006/relationships/hyperlink" Target="http://www.khonkaenlink.info" TargetMode="External" Id="rId389" /><Relationship Type="http://schemas.openxmlformats.org/officeDocument/2006/relationships/hyperlink" Target="http://www.thaigoodview.com" TargetMode="External" Id="rId390" /><Relationship Type="http://schemas.openxmlformats.org/officeDocument/2006/relationships/hyperlink" Target="http://www.nfi.or.th" TargetMode="External" Id="rId391" /><Relationship Type="http://schemas.openxmlformats.org/officeDocument/2006/relationships/hyperlink" Target="http://www.bangkokdive.com" TargetMode="External" Id="rId392" /><Relationship Type="http://schemas.openxmlformats.org/officeDocument/2006/relationships/hyperlink" Target="http://www.manydomain.com" TargetMode="External" Id="rId393" /><Relationship Type="http://schemas.openxmlformats.org/officeDocument/2006/relationships/hyperlink" Target="http://www.dreampoem.com" TargetMode="External" Id="rId394" /><Relationship Type="http://schemas.openxmlformats.org/officeDocument/2006/relationships/hyperlink" Target="http://soccersuck.com" TargetMode="External" Id="rId395" /><Relationship Type="http://schemas.openxmlformats.org/officeDocument/2006/relationships/hyperlink" Target="http://www.postjung.com" TargetMode="External" Id="rId396" /><Relationship Type="http://schemas.openxmlformats.org/officeDocument/2006/relationships/hyperlink" Target="http://www.d-et.com" TargetMode="External" Id="rId397" /><Relationship Type="http://schemas.openxmlformats.org/officeDocument/2006/relationships/hyperlink" Target="http://assetallocation.kasikornasset.com" TargetMode="External" Id="rId398" /><Relationship Type="http://schemas.openxmlformats.org/officeDocument/2006/relationships/hyperlink" Target="http://www.nootalon.com" TargetMode="External" Id="rId399" /><Relationship Type="http://schemas.openxmlformats.org/officeDocument/2006/relationships/hyperlink" Target="http://www.st.ac.th" TargetMode="External" Id="rId400" /><Relationship Type="http://schemas.openxmlformats.org/officeDocument/2006/relationships/hyperlink" Target="http://www.neonic.co.th" TargetMode="External" Id="rId401" /><Relationship Type="http://schemas.openxmlformats.org/officeDocument/2006/relationships/hyperlink" Target="http://www.nectec.or.th" TargetMode="External" Id="rId402" /><Relationship Type="http://schemas.openxmlformats.org/officeDocument/2006/relationships/hyperlink" Target="http://www.tgreinstitute.com" TargetMode="External" Id="rId403" /><Relationship Type="http://schemas.openxmlformats.org/officeDocument/2006/relationships/hyperlink" Target="http://www.sb-furniture.com" TargetMode="External" Id="rId404" /><Relationship Type="http://schemas.openxmlformats.org/officeDocument/2006/relationships/hyperlink" Target="http://www.netwayhost.com" TargetMode="External" Id="rId405" /><Relationship Type="http://schemas.openxmlformats.org/officeDocument/2006/relationships/hyperlink" Target="http://www.ddproperty.com" TargetMode="External" Id="rId406" /><Relationship Type="http://schemas.openxmlformats.org/officeDocument/2006/relationships/hyperlink" Target="http://www.campthai.com" TargetMode="External" Id="rId407" /><Relationship Type="http://schemas.openxmlformats.org/officeDocument/2006/relationships/hyperlink" Target="http://www.ftawatch.org" TargetMode="External" Id="rId408" /><Relationship Type="http://schemas.openxmlformats.org/officeDocument/2006/relationships/hyperlink" Target="http://www.zdee.com" TargetMode="External" Id="rId409" /><Relationship Type="http://schemas.openxmlformats.org/officeDocument/2006/relationships/hyperlink" Target="http://www.thaicons.com" TargetMode="External" Id="rId410" /><Relationship Type="http://schemas.openxmlformats.org/officeDocument/2006/relationships/hyperlink" Target="http://www.tisi.go.th" TargetMode="External" Id="rId411" /><Relationship Type="http://schemas.openxmlformats.org/officeDocument/2006/relationships/hyperlink" Target="http://www.madoo.com" TargetMode="External" Id="rId412" /><Relationship Type="http://schemas.openxmlformats.org/officeDocument/2006/relationships/hyperlink" Target="http://www.bangkaew.com" TargetMode="External" Id="rId413" /><Relationship Type="http://schemas.openxmlformats.org/officeDocument/2006/relationships/hyperlink" Target="http://teenee.com" TargetMode="External" Id="rId414" /><Relationship Type="http://schemas.openxmlformats.org/officeDocument/2006/relationships/hyperlink" Target="http://www.siamzone.com" TargetMode="External" Id="rId415" /><Relationship Type="http://schemas.openxmlformats.org/officeDocument/2006/relationships/hyperlink" Target="http://www.trf.or.th" TargetMode="External" Id="rId416" /><Relationship Type="http://schemas.openxmlformats.org/officeDocument/2006/relationships/hyperlink" Target="http://www.baanrak.com" TargetMode="External" Id="rId417" /><Relationship Type="http://schemas.openxmlformats.org/officeDocument/2006/relationships/hyperlink" Target="http://www.mercigod.com" TargetMode="External" Id="rId418" /><Relationship Type="http://schemas.openxmlformats.org/officeDocument/2006/relationships/hyperlink" Target="http://www.stophazard.com" TargetMode="External" Id="rId419" /><Relationship Type="http://schemas.openxmlformats.org/officeDocument/2006/relationships/hyperlink" Target="http://www.webbasesolution.com" TargetMode="External" Id="rId420" /><Relationship Type="http://schemas.openxmlformats.org/officeDocument/2006/relationships/hyperlink" Target="http://www.SisaketToday.com" TargetMode="External" Id="rId421" /><Relationship Type="http://schemas.openxmlformats.org/officeDocument/2006/relationships/hyperlink" Target="http://www.dzygroup.com" TargetMode="External" Id="rId422" /><Relationship Type="http://schemas.openxmlformats.org/officeDocument/2006/relationships/hyperlink" Target="http://www.samcoautoparts.com" TargetMode="External" Id="rId423" /><Relationship Type="http://schemas.openxmlformats.org/officeDocument/2006/relationships/hyperlink" Target="http://thaispecial.com" TargetMode="External" Id="rId424" /><Relationship Type="http://schemas.openxmlformats.org/officeDocument/2006/relationships/hyperlink" Target="http://www.watpo.com" TargetMode="External" Id="rId425" /><Relationship Type="http://schemas.openxmlformats.org/officeDocument/2006/relationships/hyperlink" Target="http://www.condomthai.com" TargetMode="External" Id="rId426" /><Relationship Type="http://schemas.openxmlformats.org/officeDocument/2006/relationships/hyperlink" Target="http://www.thaifolk.com" TargetMode="External" Id="rId427" /><Relationship Type="http://schemas.openxmlformats.org/officeDocument/2006/relationships/hyperlink" Target="http://www.nayokcity.com" TargetMode="External" Id="rId428" /><Relationship Type="http://schemas.openxmlformats.org/officeDocument/2006/relationships/hyperlink" Target="http://www.thaipr.net" TargetMode="External" Id="rId429" /><Relationship Type="http://schemas.openxmlformats.org/officeDocument/2006/relationships/hyperlink" Target="http://www.ethaicd.com" TargetMode="External" Id="rId430" /><Relationship Type="http://schemas.openxmlformats.org/officeDocument/2006/relationships/hyperlink" Target="http://www.managerradio.com" TargetMode="External" Id="rId431" /><Relationship Type="http://schemas.openxmlformats.org/officeDocument/2006/relationships/hyperlink" Target="http://www.pichate1964.com" TargetMode="External" Id="rId432" /><Relationship Type="http://schemas.openxmlformats.org/officeDocument/2006/relationships/hyperlink" Target="http://www.tnsc.com" TargetMode="External" Id="rId433" /><Relationship Type="http://schemas.openxmlformats.org/officeDocument/2006/relationships/hyperlink" Target="http://www.tourism.go.th" TargetMode="External" Id="rId434" /><Relationship Type="http://schemas.openxmlformats.org/officeDocument/2006/relationships/hyperlink" Target="http://www.jogandjoy.com" TargetMode="External" Id="rId435" /><Relationship Type="http://schemas.openxmlformats.org/officeDocument/2006/relationships/hyperlink" Target="http://www.wacoal.co.th" TargetMode="External" Id="rId436" /><Relationship Type="http://schemas.openxmlformats.org/officeDocument/2006/relationships/hyperlink" Target="http://www.kumled.com" TargetMode="External" Id="rId437" /><Relationship Type="http://schemas.openxmlformats.org/officeDocument/2006/relationships/hyperlink" Target="http://www.kondee.com" TargetMode="External" Id="rId438" /><Relationship Type="http://schemas.openxmlformats.org/officeDocument/2006/relationships/hyperlink" Target="http://www.ieshow.com" TargetMode="External" Id="rId439" /><Relationship Type="http://schemas.openxmlformats.org/officeDocument/2006/relationships/hyperlink" Target="http://www.lesaproject.com" TargetMode="External" Id="rId440" /><Relationship Type="http://schemas.openxmlformats.org/officeDocument/2006/relationships/hyperlink" Target="http://www.insuredd.com" TargetMode="External" Id="rId441" /><Relationship Type="http://schemas.openxmlformats.org/officeDocument/2006/relationships/hyperlink" Target="http://www.thai-exporttrade.com" TargetMode="External" Id="rId442" /><Relationship Type="http://schemas.openxmlformats.org/officeDocument/2006/relationships/hyperlink" Target="http://www.sivava.com" TargetMode="External" Id="rId443" /><Relationship Type="http://schemas.openxmlformats.org/officeDocument/2006/relationships/hyperlink" Target="http://www.mentor.ac" TargetMode="External" Id="rId444" /><Relationship Type="http://schemas.openxmlformats.org/officeDocument/2006/relationships/hyperlink" Target="http://www.maama.com" TargetMode="External" Id="rId445" /><Relationship Type="http://schemas.openxmlformats.org/officeDocument/2006/relationships/hyperlink" Target="http://www.indysoft.co.th" TargetMode="External" Id="rId446" /><Relationship Type="http://schemas.openxmlformats.org/officeDocument/2006/relationships/hyperlink" Target="http://www.trip.in.th" TargetMode="External" Id="rId447" /><Relationship Type="http://schemas.openxmlformats.org/officeDocument/2006/relationships/hyperlink" Target="http://www.zuzaa.com" TargetMode="External" Id="rId448" /><Relationship Type="http://schemas.openxmlformats.org/officeDocument/2006/relationships/hyperlink" Target="http://65.108.109.74" TargetMode="External" Id="rId449" /><Relationship Type="http://schemas.openxmlformats.org/officeDocument/2006/relationships/hyperlink" Target="http://www.fhm.in.th" TargetMode="External" Id="rId450" /><Relationship Type="http://schemas.openxmlformats.org/officeDocument/2006/relationships/hyperlink" Target="http://thai-toku.com" TargetMode="External" Id="rId451" /><Relationship Type="http://schemas.openxmlformats.org/officeDocument/2006/relationships/hyperlink" Target="http://www.bigbrotherthailand.com" TargetMode="External" Id="rId452" /><Relationship Type="http://schemas.openxmlformats.org/officeDocument/2006/relationships/hyperlink" Target="http://region7.prd.go.th" TargetMode="External" Id="rId453" /><Relationship Type="http://schemas.openxmlformats.org/officeDocument/2006/relationships/hyperlink" Target="http://www.rubberthai.com" TargetMode="External" Id="rId454" /><Relationship Type="http://schemas.openxmlformats.org/officeDocument/2006/relationships/hyperlink" Target="http://www.mbachula.info" TargetMode="External" Id="rId455" /><Relationship Type="http://schemas.openxmlformats.org/officeDocument/2006/relationships/hyperlink" Target="http://www.tourinthai.com" TargetMode="External" Id="rId456" /><Relationship Type="http://schemas.openxmlformats.org/officeDocument/2006/relationships/hyperlink" Target="http://www.barcodethai.com" TargetMode="External" Id="rId457" /><Relationship Type="http://schemas.openxmlformats.org/officeDocument/2006/relationships/hyperlink" Target="http://www.aromdee.com" TargetMode="External" Id="rId458" /><Relationship Type="http://schemas.openxmlformats.org/officeDocument/2006/relationships/hyperlink" Target="http://www.coit.co.th" TargetMode="External" Id="rId459" /><Relationship Type="http://schemas.openxmlformats.org/officeDocument/2006/relationships/hyperlink" Target="http://www.rd.go.th/publish/5998.0.html" TargetMode="External" Id="rId460" /><Relationship Type="http://schemas.openxmlformats.org/officeDocument/2006/relationships/hyperlink" Target="http://www.icygang.com" TargetMode="External" Id="rId461" /><Relationship Type="http://schemas.openxmlformats.org/officeDocument/2006/relationships/hyperlink" Target="http://www.2ndshop.com" TargetMode="External" Id="rId462" /><Relationship Type="http://schemas.openxmlformats.org/officeDocument/2006/relationships/hyperlink" Target="http://www.thaicity.co.th" TargetMode="External" Id="rId463" /><Relationship Type="http://schemas.openxmlformats.org/officeDocument/2006/relationships/hyperlink" Target="http://www.lakkai.com" TargetMode="External" Id="rId464" /><Relationship Type="http://schemas.openxmlformats.org/officeDocument/2006/relationships/hyperlink" Target="http://www.educationline.net" TargetMode="External" Id="rId465" /><Relationship Type="http://schemas.openxmlformats.org/officeDocument/2006/relationships/hyperlink" Target="http://www.Friend-Ship.Net" TargetMode="External" Id="rId466" /><Relationship Type="http://schemas.openxmlformats.org/officeDocument/2006/relationships/hyperlink" Target="http://www.squidbrand.com" TargetMode="External" Id="rId467" /><Relationship Type="http://schemas.openxmlformats.org/officeDocument/2006/relationships/hyperlink" Target="http://www.tops.co.th" TargetMode="External" Id="rId468" /><Relationship Type="http://schemas.openxmlformats.org/officeDocument/2006/relationships/hyperlink" Target="http://www.kgieworld.co.th" TargetMode="External" Id="rId469" /><Relationship Type="http://schemas.openxmlformats.org/officeDocument/2006/relationships/hyperlink" Target="http://www.smart-mobile.com" TargetMode="External" Id="rId470" /><Relationship Type="http://schemas.openxmlformats.org/officeDocument/2006/relationships/hyperlink" Target="http://www.opentle.org" TargetMode="External" Id="rId471" /><Relationship Type="http://schemas.openxmlformats.org/officeDocument/2006/relationships/hyperlink" Target="http://www.premierdream.com" TargetMode="External" Id="rId472" /><Relationship Type="http://schemas.openxmlformats.org/officeDocument/2006/relationships/hyperlink" Target="http://www.rta.mi.th" TargetMode="External" Id="rId473" /><Relationship Type="http://schemas.openxmlformats.org/officeDocument/2006/relationships/hyperlink" Target="http://www.kasikornbank.com" TargetMode="External" Id="rId474" /><Relationship Type="http://schemas.openxmlformats.org/officeDocument/2006/relationships/hyperlink" Target="http://www.sumitratour.com" TargetMode="External" Id="rId475" /><Relationship Type="http://schemas.openxmlformats.org/officeDocument/2006/relationships/hyperlink" Target="http://www.ertc.deqp.go.th" TargetMode="External" Id="rId476" /><Relationship Type="http://schemas.openxmlformats.org/officeDocument/2006/relationships/hyperlink" Target="http://www.sac.or.th" TargetMode="External" Id="rId477" /><Relationship Type="http://schemas.openxmlformats.org/officeDocument/2006/relationships/hyperlink" Target="http://www.lookball.com" TargetMode="External" Id="rId478" /><Relationship Type="http://schemas.openxmlformats.org/officeDocument/2006/relationships/hyperlink" Target="http://apecforesight.org" TargetMode="External" Id="rId479" /><Relationship Type="http://schemas.openxmlformats.org/officeDocument/2006/relationships/hyperlink" Target="http://www.wachirawit.ac.th" TargetMode="External" Id="rId480" /><Relationship Type="http://schemas.openxmlformats.org/officeDocument/2006/relationships/hyperlink" Target="http://www.apectf.net" TargetMode="External" Id="rId481" /><Relationship Type="http://schemas.openxmlformats.org/officeDocument/2006/relationships/hyperlink" Target="http://www.thaipresentation.com" TargetMode="External" Id="rId482" /><Relationship Type="http://schemas.openxmlformats.org/officeDocument/2006/relationships/hyperlink" Target="http://plakdeena.com" TargetMode="External" Id="rId483" /><Relationship Type="http://schemas.openxmlformats.org/officeDocument/2006/relationships/hyperlink" Target="http://www.evsthailand.com" TargetMode="External" Id="rId484" /><Relationship Type="http://schemas.openxmlformats.org/officeDocument/2006/relationships/hyperlink" Target="http://www.khonbaakpae.com" TargetMode="External" Id="rId485" /><Relationship Type="http://schemas.openxmlformats.org/officeDocument/2006/relationships/hyperlink" Target="http://lexitron.nectec.or.th" TargetMode="External" Id="rId486" /><Relationship Type="http://schemas.openxmlformats.org/officeDocument/2006/relationships/hyperlink" Target="http://www.pbforbook.com" TargetMode="External" Id="rId487" /><Relationship Type="http://schemas.openxmlformats.org/officeDocument/2006/relationships/hyperlink" Target="http://www.gimyong.com" TargetMode="External" Id="rId488" /><Relationship Type="http://schemas.openxmlformats.org/officeDocument/2006/relationships/hyperlink" Target="http://www.bannok.com" TargetMode="External" Id="rId489" /><Relationship Type="http://schemas.openxmlformats.org/officeDocument/2006/relationships/hyperlink" Target="http://www.soccer-league.in.th" TargetMode="External" Id="rId490" /><Relationship Type="http://schemas.openxmlformats.org/officeDocument/2006/relationships/hyperlink" Target="http://www.thaivisa.com" TargetMode="External" Id="rId491" /><Relationship Type="http://schemas.openxmlformats.org/officeDocument/2006/relationships/hyperlink" Target="http://www.ops.go.th" TargetMode="External" Id="rId492" /><Relationship Type="http://schemas.openxmlformats.org/officeDocument/2006/relationships/hyperlink" Target="http://www.jssr.co.th" TargetMode="External" Id="rId493" /><Relationship Type="http://schemas.openxmlformats.org/officeDocument/2006/relationships/hyperlink" Target="http://www.bossranchu.com" TargetMode="External" Id="rId494" /><Relationship Type="http://schemas.openxmlformats.org/officeDocument/2006/relationships/hyperlink" Target="http://www.thaionlinemarket.com" TargetMode="External" Id="rId495" /><Relationship Type="http://schemas.openxmlformats.org/officeDocument/2006/relationships/hyperlink" Target="http://www.thaibabyname.com" TargetMode="External" Id="rId496" /><Relationship Type="http://schemas.openxmlformats.org/officeDocument/2006/relationships/hyperlink" Target="http://www.nestle.co.th" TargetMode="External" Id="rId497" /><Relationship Type="http://schemas.openxmlformats.org/officeDocument/2006/relationships/hyperlink" Target="http://eestud.kku.ac.th" TargetMode="External" Id="rId498" /><Relationship Type="http://schemas.openxmlformats.org/officeDocument/2006/relationships/hyperlink" Target="http://sirichai.co.th" TargetMode="External" Id="rId499" /><Relationship Type="http://schemas.openxmlformats.org/officeDocument/2006/relationships/hyperlink" Target="http://www.muangthai.co.th" TargetMode="External" Id="rId500" /><Relationship Type="http://schemas.openxmlformats.org/officeDocument/2006/relationships/hyperlink" Target="http://www.thainn.com" TargetMode="External" Id="rId501" /><Relationship Type="http://schemas.openxmlformats.org/officeDocument/2006/relationships/hyperlink" Target="http://www.buildboard.com" TargetMode="External" Id="rId502" /><Relationship Type="http://schemas.openxmlformats.org/officeDocument/2006/relationships/hyperlink" Target="http://www.dft.go.th" TargetMode="External" Id="rId503" /><Relationship Type="http://schemas.openxmlformats.org/officeDocument/2006/relationships/hyperlink" Target="http://www.dpt.go.th" TargetMode="External" Id="rId504" /><Relationship Type="http://schemas.openxmlformats.org/officeDocument/2006/relationships/hyperlink" Target="http://www.trangzone.com" TargetMode="External" Id="rId505" /><Relationship Type="http://schemas.openxmlformats.org/officeDocument/2006/relationships/hyperlink" Target="http://www.pooyingnaka.com" TargetMode="External" Id="rId506" /><Relationship Type="http://schemas.openxmlformats.org/officeDocument/2006/relationships/hyperlink" Target="http://www.sso.go.th" TargetMode="External" Id="rId507" /><Relationship Type="http://schemas.openxmlformats.org/officeDocument/2006/relationships/hyperlink" Target="http://www.laiyadecor.com" TargetMode="External" Id="rId508" /><Relationship Type="http://schemas.openxmlformats.org/officeDocument/2006/relationships/hyperlink" Target="http://www.isotechcomcare.com" TargetMode="External" Id="rId509" /><Relationship Type="http://schemas.openxmlformats.org/officeDocument/2006/relationships/hyperlink" Target="http://www.regentthailand.com" TargetMode="External" Id="rId510" /><Relationship Type="http://schemas.openxmlformats.org/officeDocument/2006/relationships/hyperlink" Target="http://www.akibkk.com" TargetMode="External" Id="rId511" /><Relationship Type="http://schemas.openxmlformats.org/officeDocument/2006/relationships/hyperlink" Target="http://www.cap.co.th" TargetMode="External" Id="rId512" /><Relationship Type="http://schemas.openxmlformats.org/officeDocument/2006/relationships/hyperlink" Target="http://www.tmd.go.th" TargetMode="External" Id="rId513" /><Relationship Type="http://schemas.openxmlformats.org/officeDocument/2006/relationships/hyperlink" Target="http://www.thaihof.org" TargetMode="External" Id="rId514" /><Relationship Type="http://schemas.openxmlformats.org/officeDocument/2006/relationships/hyperlink" Target="http://www.fpo.go.th/S-I/" TargetMode="External" Id="rId515" /><Relationship Type="http://schemas.openxmlformats.org/officeDocument/2006/relationships/hyperlink" Target="http://www.dhas.com" TargetMode="External" Id="rId516" /><Relationship Type="http://schemas.openxmlformats.org/officeDocument/2006/relationships/hyperlink" Target="http://www.thaimocy.com" TargetMode="External" Id="rId517" /><Relationship Type="http://schemas.openxmlformats.org/officeDocument/2006/relationships/hyperlink" Target="http://www.photoontour.com" TargetMode="External" Id="rId518" /><Relationship Type="http://schemas.openxmlformats.org/officeDocument/2006/relationships/hyperlink" Target="http://www.vcharkarn.com" TargetMode="External" Id="rId519" /><Relationship Type="http://schemas.openxmlformats.org/officeDocument/2006/relationships/hyperlink" Target="http://www.fda.moph.go.th" TargetMode="External" Id="rId520" /><Relationship Type="http://schemas.openxmlformats.org/officeDocument/2006/relationships/hyperlink" Target="http://www.painaima.com" TargetMode="External" Id="rId521" /><Relationship Type="http://schemas.openxmlformats.org/officeDocument/2006/relationships/hyperlink" Target="http://www.nesac.go.th" TargetMode="External" Id="rId522" /><Relationship Type="http://schemas.openxmlformats.org/officeDocument/2006/relationships/hyperlink" Target="http://majorcineplex.com" TargetMode="External" Id="rId523" /><Relationship Type="http://schemas.openxmlformats.org/officeDocument/2006/relationships/hyperlink" Target="http://www.thaihealth.net" TargetMode="External" Id="rId524" /><Relationship Type="http://schemas.openxmlformats.org/officeDocument/2006/relationships/hyperlink" Target="http://www.sattahipbeach.com" TargetMode="External" Id="rId525" /><Relationship Type="http://schemas.openxmlformats.org/officeDocument/2006/relationships/hyperlink" Target="http://www.thaihope.com" TargetMode="External" Id="rId526" /><Relationship Type="http://schemas.openxmlformats.org/officeDocument/2006/relationships/hyperlink" Target="http://www.super-rich.com" TargetMode="External" Id="rId527" /><Relationship Type="http://schemas.openxmlformats.org/officeDocument/2006/relationships/hyperlink" Target="http://www.silkspan.com" TargetMode="External" Id="rId528" /><Relationship Type="http://schemas.openxmlformats.org/officeDocument/2006/relationships/hyperlink" Target="http://www.pixellive.com" TargetMode="External" Id="rId529" /><Relationship Type="http://schemas.openxmlformats.org/officeDocument/2006/relationships/hyperlink" Target="http://www.kasikornresearch.com" TargetMode="External" Id="rId530" /><Relationship Type="http://schemas.openxmlformats.org/officeDocument/2006/relationships/hyperlink" Target="http://www.ecthai.com" TargetMode="External" Id="rId531" /><Relationship Type="http://schemas.openxmlformats.org/officeDocument/2006/relationships/hyperlink" Target="http://www.gpo.or.th" TargetMode="External" Id="rId532" /><Relationship Type="http://schemas.openxmlformats.org/officeDocument/2006/relationships/hyperlink" Target="http://www.icc.co.th" TargetMode="External" Id="rId533" /><Relationship Type="http://schemas.openxmlformats.org/officeDocument/2006/relationships/hyperlink" Target="http://www.propertylines.co.th" TargetMode="External" Id="rId534" /><Relationship Type="http://schemas.openxmlformats.org/officeDocument/2006/relationships/hyperlink" Target="http://www.home.co.th" TargetMode="External" Id="rId535" /><Relationship Type="http://schemas.openxmlformats.org/officeDocument/2006/relationships/hyperlink" Target="http://freemac.net" TargetMode="External" Id="rId536" /><Relationship Type="http://schemas.openxmlformats.org/officeDocument/2006/relationships/hyperlink" Target="http://www.sunncity.com" TargetMode="External" Id="rId537" /><Relationship Type="http://schemas.openxmlformats.org/officeDocument/2006/relationships/hyperlink" Target="http://www.artifexonline.com" TargetMode="External" Id="rId538" /><Relationship Type="http://schemas.openxmlformats.org/officeDocument/2006/relationships/hyperlink" Target="http://www.efe.or.th" TargetMode="External" Id="rId539" /><Relationship Type="http://schemas.openxmlformats.org/officeDocument/2006/relationships/hyperlink" Target="http://www.105printing.com" TargetMode="External" Id="rId540" /><Relationship Type="http://schemas.openxmlformats.org/officeDocument/2006/relationships/hyperlink" Target="http://www.yourconnect.com" TargetMode="External" Id="rId541" /><Relationship Type="http://schemas.openxmlformats.org/officeDocument/2006/relationships/hyperlink" Target="http://www.siamtree.com" TargetMode="External" Id="rId542" /><Relationship Type="http://schemas.openxmlformats.org/officeDocument/2006/relationships/hyperlink" Target="http://www.marketathome.com" TargetMode="External" Id="rId543" /><Relationship Type="http://schemas.openxmlformats.org/officeDocument/2006/relationships/hyperlink" Target="http://www.dlth.in.th" TargetMode="External" Id="rId544" /><Relationship Type="http://schemas.openxmlformats.org/officeDocument/2006/relationships/hyperlink" Target="http://www.gzrz.com" TargetMode="External" Id="rId545" /><Relationship Type="http://schemas.openxmlformats.org/officeDocument/2006/relationships/hyperlink" Target="http://www.starwoodcenter.com" TargetMode="External" Id="rId546" /><Relationship Type="http://schemas.openxmlformats.org/officeDocument/2006/relationships/hyperlink" Target="http://www.automationmore.com" TargetMode="External" Id="rId547" /><Relationship Type="http://schemas.openxmlformats.org/officeDocument/2006/relationships/hyperlink" Target="http://www.library.coj.go.th" TargetMode="External" Id="rId548" /><Relationship Type="http://schemas.openxmlformats.org/officeDocument/2006/relationships/hyperlink" Target="http://thaigaming.com" TargetMode="External" Id="rId549" /><Relationship Type="http://schemas.openxmlformats.org/officeDocument/2006/relationships/hyperlink" Target="http://www.udomsuksa.ac.th" TargetMode="External" Id="rId550" /><Relationship Type="http://schemas.openxmlformats.org/officeDocument/2006/relationships/hyperlink" Target="http://www.ideaido.com" TargetMode="External" Id="rId551" /><Relationship Type="http://schemas.openxmlformats.org/officeDocument/2006/relationships/hyperlink" Target="http://www.udondee.com" TargetMode="External" Id="rId552" /><Relationship Type="http://schemas.openxmlformats.org/officeDocument/2006/relationships/hyperlink" Target="http://www.umaporn.net" TargetMode="External" Id="rId553" /><Relationship Type="http://schemas.openxmlformats.org/officeDocument/2006/relationships/hyperlink" Target="http://www.uthaisak.com" TargetMode="External" Id="rId554" /><Relationship Type="http://schemas.openxmlformats.org/officeDocument/2006/relationships/hyperlink" Target="http://www.pd.co.th" TargetMode="External" Id="rId555" /><Relationship Type="http://schemas.openxmlformats.org/officeDocument/2006/relationships/hyperlink" Target="http://www.loikrathong.net" TargetMode="External" Id="rId556" /><Relationship Type="http://schemas.openxmlformats.org/officeDocument/2006/relationships/hyperlink" Target="http://www.klongdigital.com" TargetMode="External" Id="rId557" /><Relationship Type="http://schemas.openxmlformats.org/officeDocument/2006/relationships/hyperlink" Target="http://www.udomsuksa.ac.th/rangsit" TargetMode="External" Id="rId558" /><Relationship Type="http://schemas.openxmlformats.org/officeDocument/2006/relationships/hyperlink" Target="http://www.bhunchee.com" TargetMode="External" Id="rId559" /><Relationship Type="http://schemas.openxmlformats.org/officeDocument/2006/relationships/hyperlink" Target="http://www.dip.go.th" TargetMode="External" Id="rId560" /><Relationship Type="http://schemas.openxmlformats.org/officeDocument/2006/relationships/hyperlink" Target="http://www.siamscubadiving.com" TargetMode="External" Id="rId561" /><Relationship Type="http://schemas.openxmlformats.org/officeDocument/2006/relationships/hyperlink" Target="http://www.semsikkha.org" TargetMode="External" Id="rId562" /><Relationship Type="http://schemas.openxmlformats.org/officeDocument/2006/relationships/hyperlink" Target="http://www.bbznet.com" TargetMode="External" Id="rId563" /><Relationship Type="http://schemas.openxmlformats.org/officeDocument/2006/relationships/hyperlink" Target="http://www.bsk.ac.th" TargetMode="External" Id="rId564" /><Relationship Type="http://schemas.openxmlformats.org/officeDocument/2006/relationships/hyperlink" Target="http://www.sinsae.com" TargetMode="External" Id="rId565" /><Relationship Type="http://schemas.openxmlformats.org/officeDocument/2006/relationships/hyperlink" Target="http://www.mazdaclub.net" TargetMode="External" Id="rId566" /><Relationship Type="http://schemas.openxmlformats.org/officeDocument/2006/relationships/hyperlink" Target="http://www.tiptoys.com" TargetMode="External" Id="rId567" /><Relationship Type="http://schemas.openxmlformats.org/officeDocument/2006/relationships/hyperlink" Target="http://www.kikumobile.com" TargetMode="External" Id="rId568" /><Relationship Type="http://schemas.openxmlformats.org/officeDocument/2006/relationships/hyperlink" Target="http://www.siamza.com" TargetMode="External" Id="rId569" /><Relationship Type="http://schemas.openxmlformats.org/officeDocument/2006/relationships/hyperlink" Target="http://www.caraudionetwork.com" TargetMode="External" Id="rId570" /><Relationship Type="http://schemas.openxmlformats.org/officeDocument/2006/relationships/hyperlink" Target="http://www.trainingthai.com" TargetMode="External" Id="rId571" /><Relationship Type="http://schemas.openxmlformats.org/officeDocument/2006/relationships/hyperlink" Target="http://www.maceducation.com" TargetMode="External" Id="rId572" /><Relationship Type="http://schemas.openxmlformats.org/officeDocument/2006/relationships/hyperlink" Target="http://www.thaizone.com" TargetMode="External" Id="rId573" /><Relationship Type="http://schemas.openxmlformats.org/officeDocument/2006/relationships/hyperlink" Target="http://www.jobbyyou.com" TargetMode="External" Id="rId574" /><Relationship Type="http://schemas.openxmlformats.org/officeDocument/2006/relationships/hyperlink" Target="http://www.chaambeach.com" TargetMode="External" Id="rId575" /><Relationship Type="http://schemas.openxmlformats.org/officeDocument/2006/relationships/hyperlink" Target="http://diaryclub.com" TargetMode="External" Id="rId576" /><Relationship Type="http://schemas.openxmlformats.org/officeDocument/2006/relationships/hyperlink" Target="http://www.dud-d.com" TargetMode="External" Id="rId577" /><Relationship Type="http://schemas.openxmlformats.org/officeDocument/2006/relationships/hyperlink" Target="http://www.siamnow.net" TargetMode="External" Id="rId578" /><Relationship Type="http://schemas.openxmlformats.org/officeDocument/2006/relationships/hyperlink" Target="http://www.isuzuclub.com" TargetMode="External" Id="rId579" /><Relationship Type="http://schemas.openxmlformats.org/officeDocument/2006/relationships/hyperlink" Target="http://www.kitchenclass.com" TargetMode="External" Id="rId580" /><Relationship Type="http://schemas.openxmlformats.org/officeDocument/2006/relationships/hyperlink" Target="http://www.efinancethai.net" TargetMode="External" Id="rId581" /><Relationship Type="http://schemas.openxmlformats.org/officeDocument/2006/relationships/hyperlink" Target="http://www.tripandtrek.com" TargetMode="External" Id="rId582" /><Relationship Type="http://schemas.openxmlformats.org/officeDocument/2006/relationships/hyperlink" Target="http://www.talaadthai.com" TargetMode="External" Id="rId583" /><Relationship Type="http://schemas.openxmlformats.org/officeDocument/2006/relationships/hyperlink" Target="http://www.ubicuo.biz" TargetMode="External" Id="rId584" /><Relationship Type="http://schemas.openxmlformats.org/officeDocument/2006/relationships/hyperlink" Target="http://www.chirathivat.info" TargetMode="External" Id="rId585" /><Relationship Type="http://schemas.openxmlformats.org/officeDocument/2006/relationships/hyperlink" Target="http://www.tupclub.com" TargetMode="External" Id="rId586" /><Relationship Type="http://schemas.openxmlformats.org/officeDocument/2006/relationships/hyperlink" Target="http://www.bcc138.com" TargetMode="External" Id="rId587" /><Relationship Type="http://schemas.openxmlformats.org/officeDocument/2006/relationships/hyperlink" Target="http://www.cmeasyweb.com" TargetMode="External" Id="rId588" /><Relationship Type="http://schemas.openxmlformats.org/officeDocument/2006/relationships/hyperlink" Target="http://www.digital2home.com" TargetMode="External" Id="rId589" /><Relationship Type="http://schemas.openxmlformats.org/officeDocument/2006/relationships/hyperlink" Target="http://www.cwfthai.com" TargetMode="External" Id="rId590" /><Relationship Type="http://schemas.openxmlformats.org/officeDocument/2006/relationships/hyperlink" Target="http://www.index-thai.com" TargetMode="External" Id="rId591" /><Relationship Type="http://schemas.openxmlformats.org/officeDocument/2006/relationships/hyperlink" Target="http://www.bobaetower.com" TargetMode="External" Id="rId592" /><Relationship Type="http://schemas.openxmlformats.org/officeDocument/2006/relationships/hyperlink" Target="http://www.ribboncenter.com" TargetMode="External" Id="rId593" /><Relationship Type="http://schemas.openxmlformats.org/officeDocument/2006/relationships/hyperlink" Target="http://www.krabi-hotels-resort.com" TargetMode="External" Id="rId594" /><Relationship Type="http://schemas.openxmlformats.org/officeDocument/2006/relationships/hyperlink" Target="http://www.piyapisan.com" TargetMode="External" Id="rId595" /><Relationship Type="http://schemas.openxmlformats.org/officeDocument/2006/relationships/hyperlink" Target="http://www.kim-snb.com" TargetMode="External" Id="rId596" /><Relationship Type="http://schemas.openxmlformats.org/officeDocument/2006/relationships/hyperlink" Target="http://www.nonthaburibaptist.com" TargetMode="External" Id="rId597" /><Relationship Type="http://schemas.openxmlformats.org/officeDocument/2006/relationships/hyperlink" Target="http://www.expressinter.com" TargetMode="External" Id="rId598" /><Relationship Type="http://schemas.openxmlformats.org/officeDocument/2006/relationships/hyperlink" Target="http://www.giggajib.com" TargetMode="External" Id="rId599" /><Relationship Type="http://schemas.openxmlformats.org/officeDocument/2006/relationships/hyperlink" Target="http://www.MobiFan.com" TargetMode="External" Id="rId6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01"/>
  <sheetViews>
    <sheetView tabSelected="1" topLeftCell="J1" workbookViewId="0">
      <selection activeCell="Z199" sqref="Z199"/>
    </sheetView>
  </sheetViews>
  <sheetFormatPr baseColWidth="8" defaultRowHeight="15"/>
  <cols>
    <col width="11" customWidth="1" min="1" max="1"/>
    <col width="43" customWidth="1" min="2" max="2"/>
    <col width="27" customWidth="1" min="3" max="3"/>
    <col width="15" customWidth="1" min="4" max="4"/>
    <col width="84" customWidth="1" min="5" max="5"/>
    <col width="23" customWidth="1" min="6" max="8"/>
    <col width="15" customWidth="1" min="9" max="9"/>
    <col width="12" customWidth="1" min="10" max="10"/>
    <col width="15" customWidth="1" min="11" max="11"/>
    <col width="13" customWidth="1" min="12" max="12"/>
    <col width="16" customWidth="1" min="13" max="13"/>
    <col width="11" customWidth="1" min="14" max="14"/>
    <col width="14" customWidth="1" min="15" max="15"/>
    <col width="12" customWidth="1" min="16" max="16"/>
    <col width="17" customWidth="1" min="17" max="17"/>
    <col width="13" customWidth="1" min="18" max="18"/>
    <col width="16" customWidth="1" min="19" max="19"/>
    <col width="14" customWidth="1" min="20" max="20"/>
    <col width="20" customWidth="1" min="21" max="21"/>
    <col width="13" customWidth="1" min="22" max="22"/>
    <col width="16" customWidth="1" min="23" max="23"/>
    <col width="14" customWidth="1" min="24" max="25"/>
    <col width="17" customWidth="1" min="26" max="26"/>
    <col width="22" customWidth="1" min="27" max="27"/>
  </cols>
  <sheetData>
    <row r="1" ht="30" customHeight="1">
      <c r="A1" s="1" t="inlineStr">
        <is>
          <t>No</t>
        </is>
      </c>
      <c r="B1" s="1" t="inlineStr">
        <is>
          <t>URL</t>
        </is>
      </c>
      <c r="C1" s="1" t="inlineStr">
        <is>
          <t>หมวดหมู่ (Category)</t>
        </is>
      </c>
      <c r="D1" s="1" t="inlineStr">
        <is>
          <t>คะแนนรวม (%)</t>
        </is>
      </c>
      <c r="E1" s="1" t="inlineStr">
        <is>
          <t>ระดับ (Grade)</t>
        </is>
      </c>
      <c r="F1" s="1" t="inlineStr">
        <is>
          <t>ผ่าน (Pass)</t>
        </is>
      </c>
      <c r="G1" s="1" t="inlineStr">
        <is>
          <t>ไม่ผ่าน (Fail)</t>
        </is>
      </c>
      <c r="H1" s="1" t="inlineStr">
        <is>
          <t>เตือน (Warn)</t>
        </is>
      </c>
      <c r="I1" s="1" t="inlineStr">
        <is>
          <t>WCAG 2.1 (%)</t>
        </is>
      </c>
      <c r="J1" s="1" t="inlineStr">
        <is>
          <t>WCAG ผ่าน</t>
        </is>
      </c>
      <c r="K1" s="1" t="inlineStr">
        <is>
          <t>WCAG ไม่ผ่าน</t>
        </is>
      </c>
      <c r="L1" s="1" t="inlineStr">
        <is>
          <t>WCAG เตือน</t>
        </is>
      </c>
      <c r="M1" s="1" t="inlineStr">
        <is>
          <t>CWV &amp; SEO (%)</t>
        </is>
      </c>
      <c r="N1" s="1" t="inlineStr">
        <is>
          <t>CWV ผ่าน</t>
        </is>
      </c>
      <c r="O1" s="1" t="inlineStr">
        <is>
          <t>CWV ไม่ผ่าน</t>
        </is>
      </c>
      <c r="P1" s="1" t="inlineStr">
        <is>
          <t>CWV เตือน</t>
        </is>
      </c>
      <c r="Q1" s="1" t="inlineStr">
        <is>
          <t>สกมช. NCSA (%)</t>
        </is>
      </c>
      <c r="R1" s="1" t="inlineStr">
        <is>
          <t>สกมช. ผ่าน</t>
        </is>
      </c>
      <c r="S1" s="1" t="inlineStr">
        <is>
          <t>สกมช. ไม่ผ่าน</t>
        </is>
      </c>
      <c r="T1" s="1" t="inlineStr">
        <is>
          <t>สกมช. เตือน</t>
        </is>
      </c>
      <c r="U1" s="1" t="inlineStr">
        <is>
          <t>OWASP Headers (%)</t>
        </is>
      </c>
      <c r="V1" s="1" t="inlineStr">
        <is>
          <t>OWASP ผ่าน</t>
        </is>
      </c>
      <c r="W1" s="1" t="inlineStr">
        <is>
          <t>OWASP ไม่ผ่าน</t>
        </is>
      </c>
      <c r="X1" s="1" t="inlineStr">
        <is>
          <t>OWASP เตือน</t>
        </is>
      </c>
      <c r="Y1" s="1" t="inlineStr">
        <is>
          <t>เวลารวม (s)</t>
        </is>
      </c>
      <c r="Z1" s="1" t="inlineStr">
        <is>
          <t>สถานะ (Status)</t>
        </is>
      </c>
      <c r="AA1" s="1" t="inlineStr">
        <is>
          <t>Timestamp</t>
        </is>
      </c>
    </row>
    <row r="2" ht="21.95" customHeight="1">
      <c r="A2" s="2" t="n">
        <v>1</v>
      </c>
      <c r="B2" s="31" t="inlineStr">
        <is>
          <t>http://www.sanook.com</t>
        </is>
      </c>
      <c r="C2" s="2" t="inlineStr">
        <is>
          <t>บันเทิง</t>
        </is>
      </c>
      <c r="D2" s="4">
        <f>F2/71</f>
        <v/>
      </c>
      <c r="E2" s="5">
        <f>IF(D2&gt;=0.9,"ดีเยี่ยม",IF(D2&gt;=0.7,"ดี",IF(D2&gt;=0.5,"พอใช้","ต้องปรับปรุง")))</f>
        <v/>
      </c>
      <c r="F2" s="6">
        <f>J2+N2+R2+V2</f>
        <v/>
      </c>
      <c r="G2" s="6">
        <f>K2+O2+S2+W2</f>
        <v/>
      </c>
      <c r="H2" s="6">
        <f>L2+P2+T2+X2</f>
        <v/>
      </c>
      <c r="I2" s="7">
        <f>J2/37</f>
        <v/>
      </c>
      <c r="J2" s="6" t="n">
        <v>35</v>
      </c>
      <c r="K2" s="6" t="n">
        <v>2</v>
      </c>
      <c r="L2" s="6" t="n">
        <v>0</v>
      </c>
      <c r="M2" s="7">
        <f>N2/9</f>
        <v/>
      </c>
      <c r="N2" s="6" t="n">
        <v>7</v>
      </c>
      <c r="O2" s="6" t="n">
        <v>2</v>
      </c>
      <c r="P2" s="6" t="n">
        <v>0</v>
      </c>
      <c r="Q2" s="7">
        <f>R2/11</f>
        <v/>
      </c>
      <c r="R2" s="6" t="n">
        <v>7</v>
      </c>
      <c r="S2" s="6" t="n">
        <v>2</v>
      </c>
      <c r="T2" s="6" t="n">
        <v>2</v>
      </c>
      <c r="U2" s="7">
        <f>V2/14</f>
        <v/>
      </c>
      <c r="V2" s="6" t="n">
        <v>3</v>
      </c>
      <c r="W2" s="6" t="n">
        <v>10</v>
      </c>
      <c r="X2" s="6" t="n">
        <v>1</v>
      </c>
      <c r="Y2" s="8" t="n">
        <v>38.5</v>
      </c>
      <c r="Z2" s="9" t="inlineStr">
        <is>
          <t>Success</t>
        </is>
      </c>
      <c r="AA2" s="2" t="inlineStr">
        <is>
          <t>2026-10-08 17:17:52</t>
        </is>
      </c>
    </row>
    <row r="3" ht="21.95" customHeight="1">
      <c r="A3" s="2" t="n">
        <v>2</v>
      </c>
      <c r="B3" s="31" t="inlineStr">
        <is>
          <t>http://www.thairath.co.th</t>
        </is>
      </c>
      <c r="C3" s="2" t="inlineStr">
        <is>
          <t>ข่าว-สื่อ</t>
        </is>
      </c>
      <c r="D3" s="4">
        <f>F3/71</f>
        <v/>
      </c>
      <c r="E3" s="5">
        <f>IF(D3&gt;=0.9,"ดีเยี่ยม",IF(D3&gt;=0.7,"ดี",IF(D3&gt;=0.5,"พอใช้","ต้องปรับปรุง")))</f>
        <v/>
      </c>
      <c r="F3" s="6">
        <f>J3+N3+R3+V3</f>
        <v/>
      </c>
      <c r="G3" s="6">
        <f>K3+O3+S3+W3</f>
        <v/>
      </c>
      <c r="H3" s="6">
        <f>L3+P3+T3+X3</f>
        <v/>
      </c>
      <c r="I3" s="7">
        <f>J3/37</f>
        <v/>
      </c>
      <c r="J3" s="6" t="n">
        <v>31</v>
      </c>
      <c r="K3" s="6" t="n">
        <v>5</v>
      </c>
      <c r="L3" s="6" t="n">
        <v>1</v>
      </c>
      <c r="M3" s="7">
        <f>N3/9</f>
        <v/>
      </c>
      <c r="N3" s="6" t="n">
        <v>7</v>
      </c>
      <c r="O3" s="6" t="n">
        <v>2</v>
      </c>
      <c r="P3" s="6" t="n">
        <v>0</v>
      </c>
      <c r="Q3" s="7">
        <f>R3/11</f>
        <v/>
      </c>
      <c r="R3" s="6" t="n">
        <v>7</v>
      </c>
      <c r="S3" s="6" t="n">
        <v>1</v>
      </c>
      <c r="T3" s="6" t="n">
        <v>3</v>
      </c>
      <c r="U3" s="7">
        <f>V3/14</f>
        <v/>
      </c>
      <c r="V3" s="6" t="n">
        <v>6</v>
      </c>
      <c r="W3" s="6" t="n">
        <v>7</v>
      </c>
      <c r="X3" s="6" t="n">
        <v>1</v>
      </c>
      <c r="Y3" s="8" t="n">
        <v>34.97</v>
      </c>
      <c r="Z3" s="9" t="inlineStr">
        <is>
          <t>Success</t>
        </is>
      </c>
      <c r="AA3" s="2" t="inlineStr">
        <is>
          <t>2026-10-08 17:18:27</t>
        </is>
      </c>
    </row>
    <row r="4" ht="21.95" customHeight="1">
      <c r="A4" s="2" t="n">
        <v>3</v>
      </c>
      <c r="B4" s="31" t="inlineStr">
        <is>
          <t>http://trueid.net</t>
        </is>
      </c>
      <c r="C4" s="2" t="inlineStr">
        <is>
          <t>บันเทิง</t>
        </is>
      </c>
      <c r="D4" s="10">
        <f>F4/71</f>
        <v/>
      </c>
      <c r="E4" s="11">
        <f>IF(D4&gt;=0.9,"ดีเยี่ยม",IF(D4&gt;=0.7,"ดี",IF(D4&gt;=0.5,"พอใช้","ต้องปรับปรุง")))</f>
        <v/>
      </c>
      <c r="F4" s="6">
        <f>J4+N4+R4+V4</f>
        <v/>
      </c>
      <c r="G4" s="6">
        <f>K4+O4+S4+W4</f>
        <v/>
      </c>
      <c r="H4" s="6">
        <f>L4+P4+T4+X4</f>
        <v/>
      </c>
      <c r="I4" s="7">
        <f>J4/37</f>
        <v/>
      </c>
      <c r="J4" s="6" t="n">
        <v>32</v>
      </c>
      <c r="K4" s="6" t="n">
        <v>5</v>
      </c>
      <c r="L4" s="6" t="n">
        <v>0</v>
      </c>
      <c r="M4" s="7">
        <f>N4/9</f>
        <v/>
      </c>
      <c r="N4" s="6" t="n">
        <v>6</v>
      </c>
      <c r="O4" s="6" t="n">
        <v>3</v>
      </c>
      <c r="P4" s="6" t="n">
        <v>0</v>
      </c>
      <c r="Q4" s="7">
        <f>R4/11</f>
        <v/>
      </c>
      <c r="R4" s="6" t="n">
        <v>5</v>
      </c>
      <c r="S4" s="6" t="n">
        <v>3</v>
      </c>
      <c r="T4" s="6" t="n">
        <v>3</v>
      </c>
      <c r="U4" s="7">
        <f>V4/14</f>
        <v/>
      </c>
      <c r="V4" s="6" t="n">
        <v>2</v>
      </c>
      <c r="W4" s="6" t="n">
        <v>12</v>
      </c>
      <c r="X4" s="6" t="n">
        <v>0</v>
      </c>
      <c r="Y4" s="8" t="n">
        <v>37.03</v>
      </c>
      <c r="Z4" s="9" t="inlineStr">
        <is>
          <t>Success</t>
        </is>
      </c>
      <c r="AA4" s="2" t="inlineStr">
        <is>
          <t>2026-10-08 17:19:04</t>
        </is>
      </c>
    </row>
    <row r="5" ht="21.95" customHeight="1">
      <c r="A5" s="2" t="n">
        <v>4</v>
      </c>
      <c r="B5" s="31" t="inlineStr">
        <is>
          <t>http://www.khaosod.co.th</t>
        </is>
      </c>
      <c r="C5" s="2" t="inlineStr">
        <is>
          <t>ข่าว-สื่อ</t>
        </is>
      </c>
      <c r="D5" s="4">
        <f>F5/71</f>
        <v/>
      </c>
      <c r="E5" s="5">
        <f>IF(D5&gt;=0.9,"ดีเยี่ยม",IF(D5&gt;=0.7,"ดี",IF(D5&gt;=0.5,"พอใช้","ต้องปรับปรุง")))</f>
        <v/>
      </c>
      <c r="F5" s="6">
        <f>J5+N5+R5+V5</f>
        <v/>
      </c>
      <c r="G5" s="6">
        <f>K5+O5+S5+W5</f>
        <v/>
      </c>
      <c r="H5" s="6">
        <f>L5+P5+T5+X5</f>
        <v/>
      </c>
      <c r="I5" s="7">
        <f>J5/37</f>
        <v/>
      </c>
      <c r="J5" s="6" t="n">
        <v>37</v>
      </c>
      <c r="K5" s="6" t="n">
        <v>0</v>
      </c>
      <c r="L5" s="6" t="n">
        <v>0</v>
      </c>
      <c r="M5" s="7">
        <f>N5/9</f>
        <v/>
      </c>
      <c r="N5" s="6" t="n">
        <v>7</v>
      </c>
      <c r="O5" s="6" t="n">
        <v>2</v>
      </c>
      <c r="P5" s="6" t="n">
        <v>0</v>
      </c>
      <c r="Q5" s="7">
        <f>R5/11</f>
        <v/>
      </c>
      <c r="R5" s="6" t="n">
        <v>6</v>
      </c>
      <c r="S5" s="6" t="n">
        <v>2</v>
      </c>
      <c r="T5" s="6" t="n">
        <v>3</v>
      </c>
      <c r="U5" s="7">
        <f>V5/14</f>
        <v/>
      </c>
      <c r="V5" s="6" t="n">
        <v>3</v>
      </c>
      <c r="W5" s="6" t="n">
        <v>10</v>
      </c>
      <c r="X5" s="6" t="n">
        <v>1</v>
      </c>
      <c r="Y5" s="8" t="n">
        <v>70.51000000000001</v>
      </c>
      <c r="Z5" s="9" t="inlineStr">
        <is>
          <t>Success</t>
        </is>
      </c>
      <c r="AA5" s="2" t="inlineStr">
        <is>
          <t>2026-10-08 17:20:15</t>
        </is>
      </c>
    </row>
    <row r="6" ht="21.95" customHeight="1">
      <c r="A6" s="2" t="n">
        <v>5</v>
      </c>
      <c r="B6" s="31" t="inlineStr">
        <is>
          <t>http://www.kapook.com</t>
        </is>
      </c>
      <c r="C6" s="2" t="inlineStr">
        <is>
          <t>บันเทิง</t>
        </is>
      </c>
      <c r="D6" s="4">
        <f>F6/71</f>
        <v/>
      </c>
      <c r="E6" s="5">
        <f>IF(D6&gt;=0.9,"ดีเยี่ยม",IF(D6&gt;=0.7,"ดี",IF(D6&gt;=0.5,"พอใช้","ต้องปรับปรุง")))</f>
        <v/>
      </c>
      <c r="F6" s="6">
        <f>J6+N6+R6+V6</f>
        <v/>
      </c>
      <c r="G6" s="6">
        <f>K6+O6+S6+W6</f>
        <v/>
      </c>
      <c r="H6" s="6">
        <f>L6+P6+T6+X6</f>
        <v/>
      </c>
      <c r="I6" s="7">
        <f>J6/37</f>
        <v/>
      </c>
      <c r="J6" s="6" t="n">
        <v>36</v>
      </c>
      <c r="K6" s="6" t="n">
        <v>1</v>
      </c>
      <c r="L6" s="6" t="n">
        <v>0</v>
      </c>
      <c r="M6" s="7">
        <f>N6/9</f>
        <v/>
      </c>
      <c r="N6" s="6" t="n">
        <v>7</v>
      </c>
      <c r="O6" s="6" t="n">
        <v>2</v>
      </c>
      <c r="P6" s="6" t="n">
        <v>0</v>
      </c>
      <c r="Q6" s="7">
        <f>R6/11</f>
        <v/>
      </c>
      <c r="R6" s="6" t="n">
        <v>5</v>
      </c>
      <c r="S6" s="6" t="n">
        <v>3</v>
      </c>
      <c r="T6" s="6" t="n">
        <v>3</v>
      </c>
      <c r="U6" s="7">
        <f>V6/14</f>
        <v/>
      </c>
      <c r="V6" s="6" t="n">
        <v>2</v>
      </c>
      <c r="W6" s="6" t="n">
        <v>11</v>
      </c>
      <c r="X6" s="6" t="n">
        <v>1</v>
      </c>
      <c r="Y6" s="8" t="n">
        <v>72.27</v>
      </c>
      <c r="Z6" s="9" t="inlineStr">
        <is>
          <t>Success</t>
        </is>
      </c>
      <c r="AA6" s="2" t="inlineStr">
        <is>
          <t>2026-10-08 17:21:27</t>
        </is>
      </c>
    </row>
    <row r="7" ht="21.95" customHeight="1">
      <c r="A7" s="2" t="n">
        <v>6</v>
      </c>
      <c r="B7" s="31" t="inlineStr">
        <is>
          <t>http://www.ais.th</t>
        </is>
      </c>
      <c r="C7" s="2" t="inlineStr">
        <is>
          <t>ธุรกิจ</t>
        </is>
      </c>
      <c r="D7" s="10">
        <f>F7/71</f>
        <v/>
      </c>
      <c r="E7" s="11">
        <f>IF(D7&gt;=0.9,"ดีเยี่ยม",IF(D7&gt;=0.7,"ดี",IF(D7&gt;=0.5,"พอใช้","ต้องปรับปรุง")))</f>
        <v/>
      </c>
      <c r="F7" s="6">
        <f>J7+N7+R7+V7</f>
        <v/>
      </c>
      <c r="G7" s="6">
        <f>K7+O7+S7+W7</f>
        <v/>
      </c>
      <c r="H7" s="6">
        <f>L7+P7+T7+X7</f>
        <v/>
      </c>
      <c r="I7" s="7">
        <f>J7/37</f>
        <v/>
      </c>
      <c r="J7" s="6" t="n">
        <v>34</v>
      </c>
      <c r="K7" s="6" t="n">
        <v>2</v>
      </c>
      <c r="L7" s="6" t="n">
        <v>1</v>
      </c>
      <c r="M7" s="7">
        <f>N7/9</f>
        <v/>
      </c>
      <c r="N7" s="6" t="n">
        <v>7</v>
      </c>
      <c r="O7" s="6" t="n">
        <v>2</v>
      </c>
      <c r="P7" s="6" t="n">
        <v>0</v>
      </c>
      <c r="Q7" s="7">
        <f>R7/11</f>
        <v/>
      </c>
      <c r="R7" s="6" t="n">
        <v>4</v>
      </c>
      <c r="S7" s="6" t="n">
        <v>3</v>
      </c>
      <c r="T7" s="6" t="n">
        <v>4</v>
      </c>
      <c r="U7" s="7">
        <f>V7/14</f>
        <v/>
      </c>
      <c r="V7" s="6" t="n">
        <v>1</v>
      </c>
      <c r="W7" s="6" t="n">
        <v>13</v>
      </c>
      <c r="X7" s="6" t="n">
        <v>0</v>
      </c>
      <c r="Y7" s="8" t="n">
        <v>38.5</v>
      </c>
      <c r="Z7" s="9" t="inlineStr">
        <is>
          <t>Success</t>
        </is>
      </c>
      <c r="AA7" s="2" t="inlineStr">
        <is>
          <t>2026-10-08 17:42:32</t>
        </is>
      </c>
    </row>
    <row r="8" ht="21.95" customHeight="1">
      <c r="A8" s="2" t="n">
        <v>7</v>
      </c>
      <c r="B8" s="31" t="inlineStr">
        <is>
          <t>http://mgronline.com</t>
        </is>
      </c>
      <c r="C8" s="2" t="inlineStr">
        <is>
          <t>ข่าว-สื่อ</t>
        </is>
      </c>
      <c r="D8" s="4">
        <f>F8/71</f>
        <v/>
      </c>
      <c r="E8" s="5">
        <f>IF(D8&gt;=0.9,"ดีเยี่ยม",IF(D8&gt;=0.7,"ดี",IF(D8&gt;=0.5,"พอใช้","ต้องปรับปรุง")))</f>
        <v/>
      </c>
      <c r="F8" s="6">
        <f>J8+N8+R8+V8</f>
        <v/>
      </c>
      <c r="G8" s="6">
        <f>K8+O8+S8+W8</f>
        <v/>
      </c>
      <c r="H8" s="6">
        <f>L8+P8+T8+X8</f>
        <v/>
      </c>
      <c r="I8" s="7">
        <f>J8/37</f>
        <v/>
      </c>
      <c r="J8" s="6" t="n">
        <v>37</v>
      </c>
      <c r="K8" s="6" t="n">
        <v>0</v>
      </c>
      <c r="L8" s="6" t="n">
        <v>0</v>
      </c>
      <c r="M8" s="7">
        <f>N8/9</f>
        <v/>
      </c>
      <c r="N8" s="6" t="n">
        <v>7</v>
      </c>
      <c r="O8" s="6" t="n">
        <v>2</v>
      </c>
      <c r="P8" s="6" t="n">
        <v>0</v>
      </c>
      <c r="Q8" s="7">
        <f>R8/11</f>
        <v/>
      </c>
      <c r="R8" s="6" t="n">
        <v>6</v>
      </c>
      <c r="S8" s="6" t="n">
        <v>3</v>
      </c>
      <c r="T8" s="6" t="n">
        <v>2</v>
      </c>
      <c r="U8" s="7">
        <f>V8/14</f>
        <v/>
      </c>
      <c r="V8" s="6" t="n">
        <v>2</v>
      </c>
      <c r="W8" s="6" t="n">
        <v>12</v>
      </c>
      <c r="X8" s="6" t="n">
        <v>0</v>
      </c>
      <c r="Y8" s="8" t="n">
        <v>22.09</v>
      </c>
      <c r="Z8" s="9" t="inlineStr">
        <is>
          <t>Success</t>
        </is>
      </c>
      <c r="AA8" s="2" t="inlineStr">
        <is>
          <t>2026-10-08 17:42:55</t>
        </is>
      </c>
    </row>
    <row r="9" ht="21.95" customHeight="1">
      <c r="A9" s="2" t="n">
        <v>8</v>
      </c>
      <c r="B9" s="31" t="inlineStr">
        <is>
          <t>http://www.dochord.com</t>
        </is>
      </c>
      <c r="C9" s="2" t="inlineStr">
        <is>
          <t>บันเทิง</t>
        </is>
      </c>
      <c r="D9" s="4">
        <f>F9/71</f>
        <v/>
      </c>
      <c r="E9" s="5">
        <f>IF(D9&gt;=0.9,"ดีเยี่ยม",IF(D9&gt;=0.7,"ดี",IF(D9&gt;=0.5,"พอใช้","ต้องปรับปรุง")))</f>
        <v/>
      </c>
      <c r="F9" s="6">
        <f>J9+N9+R9+V9</f>
        <v/>
      </c>
      <c r="G9" s="6">
        <f>K9+O9+S9+W9</f>
        <v/>
      </c>
      <c r="H9" s="6">
        <f>L9+P9+T9+X9</f>
        <v/>
      </c>
      <c r="I9" s="7">
        <f>J9/37</f>
        <v/>
      </c>
      <c r="J9" s="6" t="n">
        <v>37</v>
      </c>
      <c r="K9" s="6" t="n">
        <v>0</v>
      </c>
      <c r="L9" s="6" t="n">
        <v>0</v>
      </c>
      <c r="M9" s="7">
        <f>N9/9</f>
        <v/>
      </c>
      <c r="N9" s="6" t="n">
        <v>7</v>
      </c>
      <c r="O9" s="6" t="n">
        <v>2</v>
      </c>
      <c r="P9" s="6" t="n">
        <v>0</v>
      </c>
      <c r="Q9" s="7">
        <f>R9/11</f>
        <v/>
      </c>
      <c r="R9" s="6" t="n">
        <v>4</v>
      </c>
      <c r="S9" s="6" t="n">
        <v>3</v>
      </c>
      <c r="T9" s="6" t="n">
        <v>4</v>
      </c>
      <c r="U9" s="7">
        <f>V9/14</f>
        <v/>
      </c>
      <c r="V9" s="6" t="n">
        <v>2</v>
      </c>
      <c r="W9" s="6" t="n">
        <v>11</v>
      </c>
      <c r="X9" s="6" t="n">
        <v>1</v>
      </c>
      <c r="Y9" s="8" t="n">
        <v>62.13</v>
      </c>
      <c r="Z9" s="9" t="inlineStr">
        <is>
          <t>Success</t>
        </is>
      </c>
      <c r="AA9" s="2" t="inlineStr">
        <is>
          <t>2026-10-08 17:43:57</t>
        </is>
      </c>
    </row>
    <row r="10" ht="21.95" customHeight="1">
      <c r="A10" s="2" t="n">
        <v>9</v>
      </c>
      <c r="B10" s="31" t="inlineStr">
        <is>
          <t>http://www.dek-d.com</t>
        </is>
      </c>
      <c r="C10" s="2" t="inlineStr">
        <is>
          <t>บันเทิง</t>
        </is>
      </c>
      <c r="D10" s="10">
        <f>F10/71</f>
        <v/>
      </c>
      <c r="E10" s="11">
        <f>IF(D10&gt;=0.9,"ดีเยี่ยม",IF(D10&gt;=0.7,"ดี",IF(D10&gt;=0.5,"พอใช้","ต้องปรับปรุง")))</f>
        <v/>
      </c>
      <c r="F10" s="6">
        <f>J10+N10+R10+V10</f>
        <v/>
      </c>
      <c r="G10" s="6">
        <f>K10+O10+S10+W10</f>
        <v/>
      </c>
      <c r="H10" s="6">
        <f>L10+P10+T10+X10</f>
        <v/>
      </c>
      <c r="I10" s="7">
        <f>J10/37</f>
        <v/>
      </c>
      <c r="J10" s="6" t="n">
        <v>31</v>
      </c>
      <c r="K10" s="6" t="n">
        <v>6</v>
      </c>
      <c r="L10" s="6" t="n">
        <v>0</v>
      </c>
      <c r="M10" s="7">
        <f>N10/9</f>
        <v/>
      </c>
      <c r="N10" s="6" t="n">
        <v>8</v>
      </c>
      <c r="O10" s="6" t="n">
        <v>1</v>
      </c>
      <c r="P10" s="6" t="n">
        <v>0</v>
      </c>
      <c r="Q10" s="7">
        <f>R10/11</f>
        <v/>
      </c>
      <c r="R10" s="6" t="n">
        <v>6</v>
      </c>
      <c r="S10" s="6" t="n">
        <v>2</v>
      </c>
      <c r="T10" s="6" t="n">
        <v>3</v>
      </c>
      <c r="U10" s="7">
        <f>V10/14</f>
        <v/>
      </c>
      <c r="V10" s="6" t="n">
        <v>4</v>
      </c>
      <c r="W10" s="6" t="n">
        <v>8</v>
      </c>
      <c r="X10" s="6" t="n">
        <v>2</v>
      </c>
      <c r="Y10" s="8" t="n">
        <v>20.38</v>
      </c>
      <c r="Z10" s="9" t="inlineStr">
        <is>
          <t>Success</t>
        </is>
      </c>
      <c r="AA10" s="2" t="inlineStr">
        <is>
          <t>2026-10-08 17:44:17</t>
        </is>
      </c>
    </row>
    <row r="11" ht="21.95" customHeight="1">
      <c r="A11" s="2" t="n">
        <v>10</v>
      </c>
      <c r="B11" s="31" t="inlineStr">
        <is>
          <t>http://www.matichon.co.th</t>
        </is>
      </c>
      <c r="C11" s="2" t="inlineStr">
        <is>
          <t>ข่าว-สื่อ</t>
        </is>
      </c>
      <c r="D11" s="4">
        <f>F11/71</f>
        <v/>
      </c>
      <c r="E11" s="5">
        <f>IF(D11&gt;=0.9,"ดีเยี่ยม",IF(D11&gt;=0.7,"ดี",IF(D11&gt;=0.5,"พอใช้","ต้องปรับปรุง")))</f>
        <v/>
      </c>
      <c r="F11" s="6">
        <f>J11+N11+R11+V11</f>
        <v/>
      </c>
      <c r="G11" s="6">
        <f>K11+O11+S11+W11</f>
        <v/>
      </c>
      <c r="H11" s="6">
        <f>L11+P11+T11+X11</f>
        <v/>
      </c>
      <c r="I11" s="7">
        <f>J11/37</f>
        <v/>
      </c>
      <c r="J11" s="6" t="n">
        <v>37</v>
      </c>
      <c r="K11" s="6" t="n">
        <v>0</v>
      </c>
      <c r="L11" s="6" t="n">
        <v>0</v>
      </c>
      <c r="M11" s="7">
        <f>N11/9</f>
        <v/>
      </c>
      <c r="N11" s="6" t="n">
        <v>8</v>
      </c>
      <c r="O11" s="6" t="n">
        <v>1</v>
      </c>
      <c r="P11" s="6" t="n">
        <v>0</v>
      </c>
      <c r="Q11" s="7">
        <f>R11/11</f>
        <v/>
      </c>
      <c r="R11" s="6" t="n">
        <v>4</v>
      </c>
      <c r="S11" s="6" t="n">
        <v>3</v>
      </c>
      <c r="T11" s="6" t="n">
        <v>4</v>
      </c>
      <c r="U11" s="7">
        <f>V11/14</f>
        <v/>
      </c>
      <c r="V11" s="6" t="n">
        <v>2</v>
      </c>
      <c r="W11" s="6" t="n">
        <v>12</v>
      </c>
      <c r="X11" s="6" t="n">
        <v>0</v>
      </c>
      <c r="Y11" s="8" t="n">
        <v>43.4</v>
      </c>
      <c r="Z11" s="9" t="inlineStr">
        <is>
          <t>Success</t>
        </is>
      </c>
      <c r="AA11" s="2" t="inlineStr">
        <is>
          <t>2026-10-08 17:45:00</t>
        </is>
      </c>
    </row>
    <row r="12" ht="21.95" customHeight="1">
      <c r="A12" s="2" t="n">
        <v>11</v>
      </c>
      <c r="B12" s="31" t="inlineStr">
        <is>
          <t>http://www.siamsport.co.th</t>
        </is>
      </c>
      <c r="C12" s="2" t="inlineStr">
        <is>
          <t>กีฬา</t>
        </is>
      </c>
      <c r="D12" s="10">
        <f>F12/71</f>
        <v/>
      </c>
      <c r="E12" s="11">
        <f>IF(D12&gt;=0.9,"ดีเยี่ยม",IF(D12&gt;=0.7,"ดี",IF(D12&gt;=0.5,"พอใช้","ต้องปรับปรุง")))</f>
        <v/>
      </c>
      <c r="F12" s="6">
        <f>J12+N12+R12+V12</f>
        <v/>
      </c>
      <c r="G12" s="6">
        <f>K12+O12+S12+W12</f>
        <v/>
      </c>
      <c r="H12" s="6">
        <f>L12+P12+T12+X12</f>
        <v/>
      </c>
      <c r="I12" s="7">
        <f>J12/37</f>
        <v/>
      </c>
      <c r="J12" s="6" t="n">
        <v>33</v>
      </c>
      <c r="K12" s="6" t="n">
        <v>4</v>
      </c>
      <c r="L12" s="6" t="n">
        <v>0</v>
      </c>
      <c r="M12" s="7">
        <f>N12/9</f>
        <v/>
      </c>
      <c r="N12" s="6" t="n">
        <v>7</v>
      </c>
      <c r="O12" s="6" t="n">
        <v>2</v>
      </c>
      <c r="P12" s="6" t="n">
        <v>0</v>
      </c>
      <c r="Q12" s="7">
        <f>R12/11</f>
        <v/>
      </c>
      <c r="R12" s="6" t="n">
        <v>5</v>
      </c>
      <c r="S12" s="6" t="n">
        <v>3</v>
      </c>
      <c r="T12" s="6" t="n">
        <v>3</v>
      </c>
      <c r="U12" s="7">
        <f>V12/14</f>
        <v/>
      </c>
      <c r="V12" s="6" t="n">
        <v>2</v>
      </c>
      <c r="W12" s="6" t="n">
        <v>12</v>
      </c>
      <c r="X12" s="6" t="n">
        <v>0</v>
      </c>
      <c r="Y12" s="8" t="n">
        <v>30.44</v>
      </c>
      <c r="Z12" s="9" t="inlineStr">
        <is>
          <t>Success</t>
        </is>
      </c>
      <c r="AA12" s="2" t="inlineStr">
        <is>
          <t>2026-10-08 17:45:31</t>
        </is>
      </c>
    </row>
    <row r="13" ht="21.95" customHeight="1">
      <c r="A13" s="2" t="n">
        <v>12</v>
      </c>
      <c r="B13" s="31" t="inlineStr">
        <is>
          <t>http://www.bangkokbiznews.com</t>
        </is>
      </c>
      <c r="C13" s="2" t="inlineStr">
        <is>
          <t>ข่าว-สื่อ</t>
        </is>
      </c>
      <c r="D13" s="4">
        <f>F13/71</f>
        <v/>
      </c>
      <c r="E13" s="5">
        <f>IF(D13&gt;=0.9,"ดีเยี่ยม",IF(D13&gt;=0.7,"ดี",IF(D13&gt;=0.5,"พอใช้","ต้องปรับปรุง")))</f>
        <v/>
      </c>
      <c r="F13" s="6">
        <f>J13+N13+R13+V13</f>
        <v/>
      </c>
      <c r="G13" s="6">
        <f>K13+O13+S13+W13</f>
        <v/>
      </c>
      <c r="H13" s="6">
        <f>L13+P13+T13+X13</f>
        <v/>
      </c>
      <c r="I13" s="7">
        <f>J13/37</f>
        <v/>
      </c>
      <c r="J13" s="6" t="n">
        <v>37</v>
      </c>
      <c r="K13" s="6" t="n">
        <v>0</v>
      </c>
      <c r="L13" s="6" t="n">
        <v>0</v>
      </c>
      <c r="M13" s="7">
        <f>N13/9</f>
        <v/>
      </c>
      <c r="N13" s="6" t="n">
        <v>6</v>
      </c>
      <c r="O13" s="6" t="n">
        <v>3</v>
      </c>
      <c r="P13" s="6" t="n">
        <v>0</v>
      </c>
      <c r="Q13" s="7">
        <f>R13/11</f>
        <v/>
      </c>
      <c r="R13" s="6" t="n">
        <v>7</v>
      </c>
      <c r="S13" s="6" t="n">
        <v>1</v>
      </c>
      <c r="T13" s="6" t="n">
        <v>3</v>
      </c>
      <c r="U13" s="7">
        <f>V13/14</f>
        <v/>
      </c>
      <c r="V13" s="6" t="n">
        <v>4</v>
      </c>
      <c r="W13" s="6" t="n">
        <v>8</v>
      </c>
      <c r="X13" s="6" t="n">
        <v>2</v>
      </c>
      <c r="Y13" s="8" t="n">
        <v>24.72</v>
      </c>
      <c r="Z13" s="9" t="inlineStr">
        <is>
          <t>Success</t>
        </is>
      </c>
      <c r="AA13" s="2" t="inlineStr">
        <is>
          <t>2026-10-08 17:45:56</t>
        </is>
      </c>
    </row>
    <row r="14" ht="21.95" customHeight="1">
      <c r="A14" s="2" t="n">
        <v>13</v>
      </c>
      <c r="B14" s="31" t="inlineStr">
        <is>
          <t>http://www.set.or.th</t>
        </is>
      </c>
      <c r="C14" s="2" t="inlineStr">
        <is>
          <t>ธนาคาร-การเงิน</t>
        </is>
      </c>
      <c r="D14" s="4">
        <f>F14/71</f>
        <v/>
      </c>
      <c r="E14" s="5">
        <f>IF(D14&gt;=0.9,"ดีเยี่ยม",IF(D14&gt;=0.7,"ดี",IF(D14&gt;=0.5,"พอใช้","ต้องปรับปรุง")))</f>
        <v/>
      </c>
      <c r="F14" s="6">
        <f>J14+N14+R14+V14</f>
        <v/>
      </c>
      <c r="G14" s="6">
        <f>K14+O14+S14+W14</f>
        <v/>
      </c>
      <c r="H14" s="6">
        <f>L14+P14+T14+X14</f>
        <v/>
      </c>
      <c r="I14" s="7">
        <f>J14/37</f>
        <v/>
      </c>
      <c r="J14" s="6" t="n">
        <v>35</v>
      </c>
      <c r="K14" s="6" t="n">
        <v>0</v>
      </c>
      <c r="L14" s="6" t="n">
        <v>2</v>
      </c>
      <c r="M14" s="7">
        <f>N14/9</f>
        <v/>
      </c>
      <c r="N14" s="6" t="n">
        <v>6</v>
      </c>
      <c r="O14" s="6" t="n">
        <v>3</v>
      </c>
      <c r="P14" s="6" t="n">
        <v>0</v>
      </c>
      <c r="Q14" s="7">
        <f>R14/11</f>
        <v/>
      </c>
      <c r="R14" s="6" t="n">
        <v>8</v>
      </c>
      <c r="S14" s="6" t="n">
        <v>2</v>
      </c>
      <c r="T14" s="6" t="n">
        <v>1</v>
      </c>
      <c r="U14" s="7">
        <f>V14/14</f>
        <v/>
      </c>
      <c r="V14" s="6" t="n">
        <v>3</v>
      </c>
      <c r="W14" s="6" t="n">
        <v>9</v>
      </c>
      <c r="X14" s="6" t="n">
        <v>2</v>
      </c>
      <c r="Y14" s="8" t="n">
        <v>23.62</v>
      </c>
      <c r="Z14" s="9" t="inlineStr">
        <is>
          <t>Success</t>
        </is>
      </c>
      <c r="AA14" s="2" t="inlineStr">
        <is>
          <t>2026-10-08 17:46:19</t>
        </is>
      </c>
    </row>
    <row r="15" ht="21.95" customHeight="1">
      <c r="A15" s="2" t="n">
        <v>14</v>
      </c>
      <c r="B15" s="31" t="inlineStr">
        <is>
          <t>http://www.pptvhd36.com</t>
        </is>
      </c>
      <c r="C15" s="2" t="inlineStr">
        <is>
          <t>ข่าว-สื่อ</t>
        </is>
      </c>
      <c r="D15" s="10">
        <f>F15/71</f>
        <v/>
      </c>
      <c r="E15" s="11">
        <f>IF(D15&gt;=0.9,"ดีเยี่ยม",IF(D15&gt;=0.7,"ดี",IF(D15&gt;=0.5,"พอใช้","ต้องปรับปรุง")))</f>
        <v/>
      </c>
      <c r="F15" s="6">
        <f>J15+N15+R15+V15</f>
        <v/>
      </c>
      <c r="G15" s="6">
        <f>K15+O15+S15+W15</f>
        <v/>
      </c>
      <c r="H15" s="6">
        <f>L15+P15+T15+X15</f>
        <v/>
      </c>
      <c r="I15" s="7">
        <f>J15/37</f>
        <v/>
      </c>
      <c r="J15" s="6" t="n">
        <v>33</v>
      </c>
      <c r="K15" s="6" t="n">
        <v>3</v>
      </c>
      <c r="L15" s="6" t="n">
        <v>1</v>
      </c>
      <c r="M15" s="7">
        <f>N15/9</f>
        <v/>
      </c>
      <c r="N15" s="6" t="n">
        <v>7</v>
      </c>
      <c r="O15" s="6" t="n">
        <v>1</v>
      </c>
      <c r="P15" s="6" t="n">
        <v>1</v>
      </c>
      <c r="Q15" s="7">
        <f>R15/11</f>
        <v/>
      </c>
      <c r="R15" s="6" t="n">
        <v>6</v>
      </c>
      <c r="S15" s="6" t="n">
        <v>3</v>
      </c>
      <c r="T15" s="6" t="n">
        <v>2</v>
      </c>
      <c r="U15" s="7">
        <f>V15/14</f>
        <v/>
      </c>
      <c r="V15" s="6" t="n">
        <v>3</v>
      </c>
      <c r="W15" s="6" t="n">
        <v>10</v>
      </c>
      <c r="X15" s="6" t="n">
        <v>1</v>
      </c>
      <c r="Y15" s="8" t="n">
        <v>14.46</v>
      </c>
      <c r="Z15" s="9" t="inlineStr">
        <is>
          <t>Success</t>
        </is>
      </c>
      <c r="AA15" s="2" t="inlineStr">
        <is>
          <t>2026-10-08 17:46:34</t>
        </is>
      </c>
    </row>
    <row r="16" ht="21.95" customHeight="1">
      <c r="A16" s="2" t="n">
        <v>15</v>
      </c>
      <c r="B16" s="31" t="inlineStr">
        <is>
          <t>http://www.ch7.com</t>
        </is>
      </c>
      <c r="C16" s="2" t="inlineStr">
        <is>
          <t>ข่าว-สื่อ</t>
        </is>
      </c>
      <c r="D16" s="4">
        <f>F16/71</f>
        <v/>
      </c>
      <c r="E16" s="5">
        <f>IF(D16&gt;=0.9,"ดีเยี่ยม",IF(D16&gt;=0.7,"ดี",IF(D16&gt;=0.5,"พอใช้","ต้องปรับปรุง")))</f>
        <v/>
      </c>
      <c r="F16" s="6">
        <f>J16+N16+R16+V16</f>
        <v/>
      </c>
      <c r="G16" s="6">
        <f>K16+O16+S16+W16</f>
        <v/>
      </c>
      <c r="H16" s="6">
        <f>L16+P16+T16+X16</f>
        <v/>
      </c>
      <c r="I16" s="7">
        <f>J16/37</f>
        <v/>
      </c>
      <c r="J16" s="6" t="n">
        <v>36</v>
      </c>
      <c r="K16" s="6" t="n">
        <v>1</v>
      </c>
      <c r="L16" s="6" t="n">
        <v>0</v>
      </c>
      <c r="M16" s="7">
        <f>N16/9</f>
        <v/>
      </c>
      <c r="N16" s="6" t="n">
        <v>7</v>
      </c>
      <c r="O16" s="6" t="n">
        <v>2</v>
      </c>
      <c r="P16" s="6" t="n">
        <v>0</v>
      </c>
      <c r="Q16" s="7">
        <f>R16/11</f>
        <v/>
      </c>
      <c r="R16" s="6" t="n">
        <v>8</v>
      </c>
      <c r="S16" s="6" t="n">
        <v>3</v>
      </c>
      <c r="T16" s="6" t="n">
        <v>0</v>
      </c>
      <c r="U16" s="7">
        <f>V16/14</f>
        <v/>
      </c>
      <c r="V16" s="6" t="n">
        <v>3</v>
      </c>
      <c r="W16" s="6" t="n">
        <v>10</v>
      </c>
      <c r="X16" s="6" t="n">
        <v>1</v>
      </c>
      <c r="Y16" s="8" t="n">
        <v>40.49</v>
      </c>
      <c r="Z16" s="9" t="inlineStr">
        <is>
          <t>Success</t>
        </is>
      </c>
      <c r="AA16" s="2" t="inlineStr">
        <is>
          <t>2026-10-08 17:47:14</t>
        </is>
      </c>
    </row>
    <row r="17" ht="21.95" customHeight="1">
      <c r="A17" s="2" t="n">
        <v>16</v>
      </c>
      <c r="B17" s="31" t="inlineStr">
        <is>
          <t>http://www.tnews.co.th</t>
        </is>
      </c>
      <c r="C17" s="2" t="inlineStr">
        <is>
          <t>ข่าว-สื่อ</t>
        </is>
      </c>
      <c r="D17" s="4">
        <f>F17/71</f>
        <v/>
      </c>
      <c r="E17" s="5">
        <f>IF(D17&gt;=0.9,"ดีเยี่ยม",IF(D17&gt;=0.7,"ดี",IF(D17&gt;=0.5,"พอใช้","ต้องปรับปรุง")))</f>
        <v/>
      </c>
      <c r="F17" s="6">
        <f>J17+N17+R17+V17</f>
        <v/>
      </c>
      <c r="G17" s="6">
        <f>K17+O17+S17+W17</f>
        <v/>
      </c>
      <c r="H17" s="6">
        <f>L17+P17+T17+X17</f>
        <v/>
      </c>
      <c r="I17" s="7">
        <f>J17/37</f>
        <v/>
      </c>
      <c r="J17" s="6" t="n">
        <v>35</v>
      </c>
      <c r="K17" s="6" t="n">
        <v>1</v>
      </c>
      <c r="L17" s="6" t="n">
        <v>1</v>
      </c>
      <c r="M17" s="7">
        <f>N17/9</f>
        <v/>
      </c>
      <c r="N17" s="6" t="n">
        <v>8</v>
      </c>
      <c r="O17" s="6" t="n">
        <v>1</v>
      </c>
      <c r="P17" s="6" t="n">
        <v>0</v>
      </c>
      <c r="Q17" s="7">
        <f>R17/11</f>
        <v/>
      </c>
      <c r="R17" s="6" t="n">
        <v>6</v>
      </c>
      <c r="S17" s="6" t="n">
        <v>1</v>
      </c>
      <c r="T17" s="6" t="n">
        <v>4</v>
      </c>
      <c r="U17" s="7">
        <f>V17/14</f>
        <v/>
      </c>
      <c r="V17" s="6" t="n">
        <v>4</v>
      </c>
      <c r="W17" s="6" t="n">
        <v>8</v>
      </c>
      <c r="X17" s="6" t="n">
        <v>2</v>
      </c>
      <c r="Y17" s="8" t="n">
        <v>27.39</v>
      </c>
      <c r="Z17" s="9" t="inlineStr">
        <is>
          <t>Success</t>
        </is>
      </c>
      <c r="AA17" s="2" t="inlineStr">
        <is>
          <t>2026-10-08 17:47:42</t>
        </is>
      </c>
    </row>
    <row r="18" ht="21.95" customHeight="1">
      <c r="A18" s="2" t="n">
        <v>17</v>
      </c>
      <c r="B18" s="31" t="inlineStr">
        <is>
          <t>http://www.dailynews.co.th</t>
        </is>
      </c>
      <c r="C18" s="2" t="inlineStr">
        <is>
          <t>ข่าว-สื่อ</t>
        </is>
      </c>
      <c r="D18" s="10">
        <f>F18/71</f>
        <v/>
      </c>
      <c r="E18" s="11">
        <f>IF(D18&gt;=0.9,"ดีเยี่ยม",IF(D18&gt;=0.7,"ดี",IF(D18&gt;=0.5,"พอใช้","ต้องปรับปรุง")))</f>
        <v/>
      </c>
      <c r="F18" s="6">
        <f>J18+N18+R18+V18</f>
        <v/>
      </c>
      <c r="G18" s="6">
        <f>K18+O18+S18+W18</f>
        <v/>
      </c>
      <c r="H18" s="6">
        <f>L18+P18+T18+X18</f>
        <v/>
      </c>
      <c r="I18" s="7">
        <f>J18/37</f>
        <v/>
      </c>
      <c r="J18" s="6" t="n">
        <v>32</v>
      </c>
      <c r="K18" s="6" t="n">
        <v>5</v>
      </c>
      <c r="L18" s="6" t="n">
        <v>0</v>
      </c>
      <c r="M18" s="7">
        <f>N18/9</f>
        <v/>
      </c>
      <c r="N18" s="6" t="n">
        <v>0</v>
      </c>
      <c r="O18" s="6" t="n">
        <v>0</v>
      </c>
      <c r="P18" s="6" t="n">
        <v>9</v>
      </c>
      <c r="Q18" s="7">
        <f>R18/11</f>
        <v/>
      </c>
      <c r="R18" s="6" t="n">
        <v>5</v>
      </c>
      <c r="S18" s="6" t="n">
        <v>3</v>
      </c>
      <c r="T18" s="6" t="n">
        <v>3</v>
      </c>
      <c r="U18" s="7">
        <f>V18/14</f>
        <v/>
      </c>
      <c r="V18" s="6" t="n">
        <v>2</v>
      </c>
      <c r="W18" s="6" t="n">
        <v>11</v>
      </c>
      <c r="X18" s="6" t="n">
        <v>1</v>
      </c>
      <c r="Y18" s="8" t="n">
        <v>120.22</v>
      </c>
      <c r="Z18" s="9" t="inlineStr">
        <is>
          <t>Success</t>
        </is>
      </c>
      <c r="AA18" s="2" t="inlineStr">
        <is>
          <t>2026-10-08 17:49:42</t>
        </is>
      </c>
    </row>
    <row r="19" ht="21.95" customHeight="1">
      <c r="A19" s="2" t="n">
        <v>18</v>
      </c>
      <c r="B19" s="31" t="inlineStr">
        <is>
          <t>http://www.thaipbs.or.th</t>
        </is>
      </c>
      <c r="C19" s="2" t="inlineStr">
        <is>
          <t>ข่าว-สื่อ</t>
        </is>
      </c>
      <c r="D19" s="4">
        <f>F19/71</f>
        <v/>
      </c>
      <c r="E19" s="5">
        <f>IF(D19&gt;=0.9,"ดีเยี่ยม",IF(D19&gt;=0.7,"ดี",IF(D19&gt;=0.5,"พอใช้","ต้องปรับปรุง")))</f>
        <v/>
      </c>
      <c r="F19" s="6">
        <f>J19+N19+R19+V19</f>
        <v/>
      </c>
      <c r="G19" s="6">
        <f>K19+O19+S19+W19</f>
        <v/>
      </c>
      <c r="H19" s="6">
        <f>L19+P19+T19+X19</f>
        <v/>
      </c>
      <c r="I19" s="7">
        <f>J19/37</f>
        <v/>
      </c>
      <c r="J19" s="6" t="n">
        <v>36</v>
      </c>
      <c r="K19" s="6" t="n">
        <v>0</v>
      </c>
      <c r="L19" s="6" t="n">
        <v>1</v>
      </c>
      <c r="M19" s="7">
        <f>N19/9</f>
        <v/>
      </c>
      <c r="N19" s="6" t="n">
        <v>7</v>
      </c>
      <c r="O19" s="6" t="n">
        <v>1</v>
      </c>
      <c r="P19" s="6" t="n">
        <v>1</v>
      </c>
      <c r="Q19" s="7">
        <f>R19/11</f>
        <v/>
      </c>
      <c r="R19" s="6" t="n">
        <v>5</v>
      </c>
      <c r="S19" s="6" t="n">
        <v>2</v>
      </c>
      <c r="T19" s="6" t="n">
        <v>4</v>
      </c>
      <c r="U19" s="7">
        <f>V19/14</f>
        <v/>
      </c>
      <c r="V19" s="6" t="n">
        <v>6</v>
      </c>
      <c r="W19" s="6" t="n">
        <v>7</v>
      </c>
      <c r="X19" s="6" t="n">
        <v>1</v>
      </c>
      <c r="Y19" s="8" t="n">
        <v>29.87</v>
      </c>
      <c r="Z19" s="9" t="inlineStr">
        <is>
          <t>Success</t>
        </is>
      </c>
      <c r="AA19" s="2" t="inlineStr">
        <is>
          <t>2026-10-08 17:50:12</t>
        </is>
      </c>
    </row>
    <row r="20" ht="21.95" customHeight="1">
      <c r="A20" s="2" t="n">
        <v>19</v>
      </c>
      <c r="B20" s="31" t="inlineStr">
        <is>
          <t>http://www.thaipost.net</t>
        </is>
      </c>
      <c r="C20" s="2" t="inlineStr">
        <is>
          <t>ข่าว-สื่อ</t>
        </is>
      </c>
      <c r="D20" s="10">
        <f>F20/71</f>
        <v/>
      </c>
      <c r="E20" s="11">
        <f>IF(D20&gt;=0.9,"ดีเยี่ยม",IF(D20&gt;=0.7,"ดี",IF(D20&gt;=0.5,"พอใช้","ต้องปรับปรุง")))</f>
        <v/>
      </c>
      <c r="F20" s="6">
        <f>J20+N20+R20+V20</f>
        <v/>
      </c>
      <c r="G20" s="6">
        <f>K20+O20+S20+W20</f>
        <v/>
      </c>
      <c r="H20" s="6">
        <f>L20+P20+T20+X20</f>
        <v/>
      </c>
      <c r="I20" s="7">
        <f>J20/37</f>
        <v/>
      </c>
      <c r="J20" s="6" t="n">
        <v>31</v>
      </c>
      <c r="K20" s="6" t="n">
        <v>6</v>
      </c>
      <c r="L20" s="6" t="n">
        <v>0</v>
      </c>
      <c r="M20" s="7">
        <f>N20/9</f>
        <v/>
      </c>
      <c r="N20" s="6" t="n">
        <v>8</v>
      </c>
      <c r="O20" s="6" t="n">
        <v>1</v>
      </c>
      <c r="P20" s="6" t="n">
        <v>0</v>
      </c>
      <c r="Q20" s="7">
        <f>R20/11</f>
        <v/>
      </c>
      <c r="R20" s="6" t="n">
        <v>5</v>
      </c>
      <c r="S20" s="6" t="n">
        <v>2</v>
      </c>
      <c r="T20" s="6" t="n">
        <v>4</v>
      </c>
      <c r="U20" s="7">
        <f>V20/14</f>
        <v/>
      </c>
      <c r="V20" s="6" t="n">
        <v>4</v>
      </c>
      <c r="W20" s="6" t="n">
        <v>10</v>
      </c>
      <c r="X20" s="6" t="n">
        <v>0</v>
      </c>
      <c r="Y20" s="8" t="n">
        <v>38.61</v>
      </c>
      <c r="Z20" s="9" t="inlineStr">
        <is>
          <t>Success</t>
        </is>
      </c>
      <c r="AA20" s="2" t="inlineStr">
        <is>
          <t>2026-10-08 17:50:50</t>
        </is>
      </c>
    </row>
    <row r="21" ht="21.95" customHeight="1">
      <c r="A21" s="2" t="n">
        <v>20</v>
      </c>
      <c r="B21" s="31" t="inlineStr">
        <is>
          <t>http://www.naewna.com</t>
        </is>
      </c>
      <c r="C21" s="2" t="inlineStr">
        <is>
          <t>ข่าว-สื่อ</t>
        </is>
      </c>
      <c r="D21" s="10">
        <f>F21/71</f>
        <v/>
      </c>
      <c r="E21" s="11">
        <f>IF(D21&gt;=0.9,"ดีเยี่ยม",IF(D21&gt;=0.7,"ดี",IF(D21&gt;=0.5,"พอใช้","ต้องปรับปรุง")))</f>
        <v/>
      </c>
      <c r="F21" s="6">
        <f>J21+N21+R21+V21</f>
        <v/>
      </c>
      <c r="G21" s="6">
        <f>K21+O21+S21+W21</f>
        <v/>
      </c>
      <c r="H21" s="6">
        <f>L21+P21+T21+X21</f>
        <v/>
      </c>
      <c r="I21" s="7">
        <f>J21/37</f>
        <v/>
      </c>
      <c r="J21" s="6" t="n">
        <v>34</v>
      </c>
      <c r="K21" s="6" t="n">
        <v>3</v>
      </c>
      <c r="L21" s="6" t="n">
        <v>0</v>
      </c>
      <c r="M21" s="7">
        <f>N21/9</f>
        <v/>
      </c>
      <c r="N21" s="6" t="n">
        <v>6</v>
      </c>
      <c r="O21" s="6" t="n">
        <v>3</v>
      </c>
      <c r="P21" s="6" t="n">
        <v>0</v>
      </c>
      <c r="Q21" s="7">
        <f>R21/11</f>
        <v/>
      </c>
      <c r="R21" s="6" t="n">
        <v>5</v>
      </c>
      <c r="S21" s="6" t="n">
        <v>3</v>
      </c>
      <c r="T21" s="6" t="n">
        <v>3</v>
      </c>
      <c r="U21" s="7">
        <f>V21/14</f>
        <v/>
      </c>
      <c r="V21" s="6" t="n">
        <v>2</v>
      </c>
      <c r="W21" s="6" t="n">
        <v>12</v>
      </c>
      <c r="X21" s="6" t="n">
        <v>0</v>
      </c>
      <c r="Y21" s="8" t="n">
        <v>86.59</v>
      </c>
      <c r="Z21" s="9" t="inlineStr">
        <is>
          <t>Success</t>
        </is>
      </c>
      <c r="AA21" s="2" t="inlineStr">
        <is>
          <t>2026-10-08 17:52:17</t>
        </is>
      </c>
    </row>
    <row r="22" ht="21.95" customHeight="1">
      <c r="A22" s="2" t="n">
        <v>21</v>
      </c>
      <c r="B22" s="31" t="inlineStr">
        <is>
          <t>http://www.amarintv.com</t>
        </is>
      </c>
      <c r="C22" s="2" t="inlineStr">
        <is>
          <t>ข่าว-สื่อ</t>
        </is>
      </c>
      <c r="D22" s="4">
        <f>F22/71</f>
        <v/>
      </c>
      <c r="E22" s="5">
        <f>IF(D22&gt;=0.9,"ดีเยี่ยม",IF(D22&gt;=0.7,"ดี",IF(D22&gt;=0.5,"พอใช้","ต้องปรับปรุง")))</f>
        <v/>
      </c>
      <c r="F22" s="6">
        <f>J22+N22+R22+V22</f>
        <v/>
      </c>
      <c r="G22" s="6">
        <f>K22+O22+S22+W22</f>
        <v/>
      </c>
      <c r="H22" s="6">
        <f>L22+P22+T22+X22</f>
        <v/>
      </c>
      <c r="I22" s="7">
        <f>J22/37</f>
        <v/>
      </c>
      <c r="J22" s="6" t="n">
        <v>37</v>
      </c>
      <c r="K22" s="6" t="n">
        <v>0</v>
      </c>
      <c r="L22" s="6" t="n">
        <v>0</v>
      </c>
      <c r="M22" s="7">
        <f>N22/9</f>
        <v/>
      </c>
      <c r="N22" s="6" t="n">
        <v>6</v>
      </c>
      <c r="O22" s="6" t="n">
        <v>2</v>
      </c>
      <c r="P22" s="6" t="n">
        <v>1</v>
      </c>
      <c r="Q22" s="7">
        <f>R22/11</f>
        <v/>
      </c>
      <c r="R22" s="6" t="n">
        <v>6</v>
      </c>
      <c r="S22" s="6" t="n">
        <v>4</v>
      </c>
      <c r="T22" s="6" t="n">
        <v>1</v>
      </c>
      <c r="U22" s="7">
        <f>V22/14</f>
        <v/>
      </c>
      <c r="V22" s="6" t="n">
        <v>1</v>
      </c>
      <c r="W22" s="6" t="n">
        <v>13</v>
      </c>
      <c r="X22" s="6" t="n">
        <v>0</v>
      </c>
      <c r="Y22" s="8" t="n">
        <v>15.45</v>
      </c>
      <c r="Z22" s="9" t="inlineStr">
        <is>
          <t>Success</t>
        </is>
      </c>
      <c r="AA22" s="2" t="inlineStr">
        <is>
          <t>2026-10-08 17:52:32</t>
        </is>
      </c>
    </row>
    <row r="23" ht="21.95" customHeight="1">
      <c r="A23" s="2" t="n">
        <v>22</v>
      </c>
      <c r="B23" s="31" t="inlineStr">
        <is>
          <t>http://www.uamulet.com</t>
        </is>
      </c>
      <c r="C23" s="2" t="inlineStr">
        <is>
          <t>ศิลปะ-วัฒนธรรม</t>
        </is>
      </c>
      <c r="D23" s="4">
        <f>F23/71</f>
        <v/>
      </c>
      <c r="E23" s="5">
        <f>IF(D23&gt;=0.9,"ดีเยี่ยม",IF(D23&gt;=0.7,"ดี",IF(D23&gt;=0.5,"พอใช้","ต้องปรับปรุง")))</f>
        <v/>
      </c>
      <c r="F23" s="6">
        <f>J23+N23+R23+V23</f>
        <v/>
      </c>
      <c r="G23" s="6">
        <f>K23+O23+S23+W23</f>
        <v/>
      </c>
      <c r="H23" s="6">
        <f>L23+P23+T23+X23</f>
        <v/>
      </c>
      <c r="I23" s="7">
        <f>J23/37</f>
        <v/>
      </c>
      <c r="J23" s="6" t="n">
        <v>37</v>
      </c>
      <c r="K23" s="6" t="n">
        <v>0</v>
      </c>
      <c r="L23" s="6" t="n">
        <v>0</v>
      </c>
      <c r="M23" s="7">
        <f>N23/9</f>
        <v/>
      </c>
      <c r="N23" s="6" t="n">
        <v>7</v>
      </c>
      <c r="O23" s="6" t="n">
        <v>2</v>
      </c>
      <c r="P23" s="6" t="n">
        <v>0</v>
      </c>
      <c r="Q23" s="7">
        <f>R23/11</f>
        <v/>
      </c>
      <c r="R23" s="6" t="n">
        <v>6</v>
      </c>
      <c r="S23" s="6" t="n">
        <v>2</v>
      </c>
      <c r="T23" s="6" t="n">
        <v>3</v>
      </c>
      <c r="U23" s="7">
        <f>V23/14</f>
        <v/>
      </c>
      <c r="V23" s="6" t="n">
        <v>5</v>
      </c>
      <c r="W23" s="6" t="n">
        <v>9</v>
      </c>
      <c r="X23" s="6" t="n">
        <v>0</v>
      </c>
      <c r="Y23" s="8" t="n">
        <v>30.89</v>
      </c>
      <c r="Z23" s="9" t="inlineStr">
        <is>
          <t>Success</t>
        </is>
      </c>
      <c r="AA23" s="2" t="inlineStr">
        <is>
          <t>2026-10-08 17:53:03</t>
        </is>
      </c>
    </row>
    <row r="24" ht="21.95" customHeight="1">
      <c r="A24" s="2" t="n">
        <v>23</v>
      </c>
      <c r="B24" s="31" t="inlineStr">
        <is>
          <t>http://www.komchadluek.net</t>
        </is>
      </c>
      <c r="C24" s="2" t="inlineStr">
        <is>
          <t>ข่าว-สื่อ</t>
        </is>
      </c>
      <c r="D24" s="4">
        <f>F24/71</f>
        <v/>
      </c>
      <c r="E24" s="5">
        <f>IF(D24&gt;=0.9,"ดีเยี่ยม",IF(D24&gt;=0.7,"ดี",IF(D24&gt;=0.5,"พอใช้","ต้องปรับปรุง")))</f>
        <v/>
      </c>
      <c r="F24" s="6">
        <f>J24+N24+R24+V24</f>
        <v/>
      </c>
      <c r="G24" s="6">
        <f>K24+O24+S24+W24</f>
        <v/>
      </c>
      <c r="H24" s="6">
        <f>L24+P24+T24+X24</f>
        <v/>
      </c>
      <c r="I24" s="7">
        <f>J24/37</f>
        <v/>
      </c>
      <c r="J24" s="6" t="n">
        <v>35</v>
      </c>
      <c r="K24" s="6" t="n">
        <v>0</v>
      </c>
      <c r="L24" s="6" t="n">
        <v>2</v>
      </c>
      <c r="M24" s="7">
        <f>N24/9</f>
        <v/>
      </c>
      <c r="N24" s="6" t="n">
        <v>7</v>
      </c>
      <c r="O24" s="6" t="n">
        <v>2</v>
      </c>
      <c r="P24" s="6" t="n">
        <v>0</v>
      </c>
      <c r="Q24" s="7">
        <f>R24/11</f>
        <v/>
      </c>
      <c r="R24" s="6" t="n">
        <v>6</v>
      </c>
      <c r="S24" s="6" t="n">
        <v>1</v>
      </c>
      <c r="T24" s="6" t="n">
        <v>4</v>
      </c>
      <c r="U24" s="7">
        <f>V24/14</f>
        <v/>
      </c>
      <c r="V24" s="6" t="n">
        <v>4</v>
      </c>
      <c r="W24" s="6" t="n">
        <v>8</v>
      </c>
      <c r="X24" s="6" t="n">
        <v>2</v>
      </c>
      <c r="Y24" s="8" t="n">
        <v>25.72</v>
      </c>
      <c r="Z24" s="9" t="inlineStr">
        <is>
          <t>Success</t>
        </is>
      </c>
      <c r="AA24" s="2" t="inlineStr">
        <is>
          <t>2026-10-08 17:53:29</t>
        </is>
      </c>
    </row>
    <row r="25" ht="21.95" customHeight="1">
      <c r="A25" s="2" t="n">
        <v>24</v>
      </c>
      <c r="B25" s="31" t="inlineStr">
        <is>
          <t>http://www.bangkokpost.com</t>
        </is>
      </c>
      <c r="C25" s="2" t="inlineStr">
        <is>
          <t>ข่าว-สื่อ</t>
        </is>
      </c>
      <c r="D25" s="10">
        <f>F25/71</f>
        <v/>
      </c>
      <c r="E25" s="11">
        <f>IF(D25&gt;=0.9,"ดีเยี่ยม",IF(D25&gt;=0.7,"ดี",IF(D25&gt;=0.5,"พอใช้","ต้องปรับปรุง")))</f>
        <v/>
      </c>
      <c r="F25" s="6">
        <f>J25+N25+R25+V25</f>
        <v/>
      </c>
      <c r="G25" s="6">
        <f>K25+O25+S25+W25</f>
        <v/>
      </c>
      <c r="H25" s="6">
        <f>L25+P25+T25+X25</f>
        <v/>
      </c>
      <c r="I25" s="7">
        <f>J25/37</f>
        <v/>
      </c>
      <c r="J25" s="6" t="n">
        <v>34</v>
      </c>
      <c r="K25" s="6" t="n">
        <v>2</v>
      </c>
      <c r="L25" s="6" t="n">
        <v>1</v>
      </c>
      <c r="M25" s="7">
        <f>N25/9</f>
        <v/>
      </c>
      <c r="N25" s="6" t="n">
        <v>7</v>
      </c>
      <c r="O25" s="6" t="n">
        <v>2</v>
      </c>
      <c r="P25" s="6" t="n">
        <v>0</v>
      </c>
      <c r="Q25" s="7">
        <f>R25/11</f>
        <v/>
      </c>
      <c r="R25" s="6" t="n">
        <v>5</v>
      </c>
      <c r="S25" s="6" t="n">
        <v>3</v>
      </c>
      <c r="T25" s="6" t="n">
        <v>3</v>
      </c>
      <c r="U25" s="7">
        <f>V25/14</f>
        <v/>
      </c>
      <c r="V25" s="6" t="n">
        <v>2</v>
      </c>
      <c r="W25" s="6" t="n">
        <v>11</v>
      </c>
      <c r="X25" s="6" t="n">
        <v>1</v>
      </c>
      <c r="Y25" s="8" t="n">
        <v>43.4</v>
      </c>
      <c r="Z25" s="9" t="inlineStr">
        <is>
          <t>Success</t>
        </is>
      </c>
      <c r="AA25" s="2" t="inlineStr">
        <is>
          <t>2026-10-08 17:54:12</t>
        </is>
      </c>
    </row>
    <row r="26" ht="21.95" customHeight="1">
      <c r="A26" s="2" t="n">
        <v>25</v>
      </c>
      <c r="B26" s="31" t="inlineStr">
        <is>
          <t>http://www.thaiware.com</t>
        </is>
      </c>
      <c r="C26" s="2" t="inlineStr">
        <is>
          <t>คอมพิวเตอร์</t>
        </is>
      </c>
      <c r="D26" s="10">
        <f>F26/71</f>
        <v/>
      </c>
      <c r="E26" s="11">
        <f>IF(D26&gt;=0.9,"ดีเยี่ยม",IF(D26&gt;=0.7,"ดี",IF(D26&gt;=0.5,"พอใช้","ต้องปรับปรุง")))</f>
        <v/>
      </c>
      <c r="F26" s="6">
        <f>J26+N26+R26+V26</f>
        <v/>
      </c>
      <c r="G26" s="6">
        <f>K26+O26+S26+W26</f>
        <v/>
      </c>
      <c r="H26" s="6">
        <f>L26+P26+T26+X26</f>
        <v/>
      </c>
      <c r="I26" s="7">
        <f>J26/37</f>
        <v/>
      </c>
      <c r="J26" s="6" t="n">
        <v>31</v>
      </c>
      <c r="K26" s="6" t="n">
        <v>6</v>
      </c>
      <c r="L26" s="6" t="n">
        <v>0</v>
      </c>
      <c r="M26" s="7">
        <f>N26/9</f>
        <v/>
      </c>
      <c r="N26" s="6" t="n">
        <v>9</v>
      </c>
      <c r="O26" s="6" t="n">
        <v>0</v>
      </c>
      <c r="P26" s="6" t="n">
        <v>0</v>
      </c>
      <c r="Q26" s="7">
        <f>R26/11</f>
        <v/>
      </c>
      <c r="R26" s="6" t="n">
        <v>4</v>
      </c>
      <c r="S26" s="6" t="n">
        <v>3</v>
      </c>
      <c r="T26" s="6" t="n">
        <v>4</v>
      </c>
      <c r="U26" s="7">
        <f>V26/14</f>
        <v/>
      </c>
      <c r="V26" s="6" t="n">
        <v>3</v>
      </c>
      <c r="W26" s="6" t="n">
        <v>11</v>
      </c>
      <c r="X26" s="6" t="n">
        <v>0</v>
      </c>
      <c r="Y26" s="8" t="n">
        <v>35.56</v>
      </c>
      <c r="Z26" s="9" t="inlineStr">
        <is>
          <t>Success</t>
        </is>
      </c>
      <c r="AA26" s="2" t="inlineStr">
        <is>
          <t>2026-10-08 17:54:48</t>
        </is>
      </c>
    </row>
    <row r="27" ht="21.95" customHeight="1">
      <c r="A27" s="2" t="n">
        <v>26</v>
      </c>
      <c r="B27" s="31" t="inlineStr">
        <is>
          <t>http://www.ejan.co</t>
        </is>
      </c>
      <c r="C27" s="2" t="inlineStr">
        <is>
          <t>ข่าว-สื่อ</t>
        </is>
      </c>
      <c r="D27" s="4">
        <f>F27/71</f>
        <v/>
      </c>
      <c r="E27" s="5">
        <f>IF(D27&gt;=0.9,"ดีเยี่ยม",IF(D27&gt;=0.7,"ดี",IF(D27&gt;=0.5,"พอใช้","ต้องปรับปรุง")))</f>
        <v/>
      </c>
      <c r="F27" s="6">
        <f>J27+N27+R27+V27</f>
        <v/>
      </c>
      <c r="G27" s="6">
        <f>K27+O27+S27+W27</f>
        <v/>
      </c>
      <c r="H27" s="6">
        <f>L27+P27+T27+X27</f>
        <v/>
      </c>
      <c r="I27" s="7">
        <f>J27/37</f>
        <v/>
      </c>
      <c r="J27" s="6" t="n">
        <v>37</v>
      </c>
      <c r="K27" s="6" t="n">
        <v>0</v>
      </c>
      <c r="L27" s="6" t="n">
        <v>0</v>
      </c>
      <c r="M27" s="7">
        <f>N27/9</f>
        <v/>
      </c>
      <c r="N27" s="6" t="n">
        <v>7</v>
      </c>
      <c r="O27" s="6" t="n">
        <v>2</v>
      </c>
      <c r="P27" s="6" t="n">
        <v>0</v>
      </c>
      <c r="Q27" s="7">
        <f>R27/11</f>
        <v/>
      </c>
      <c r="R27" s="6" t="n">
        <v>4</v>
      </c>
      <c r="S27" s="6" t="n">
        <v>3</v>
      </c>
      <c r="T27" s="6" t="n">
        <v>4</v>
      </c>
      <c r="U27" s="7">
        <f>V27/14</f>
        <v/>
      </c>
      <c r="V27" s="6" t="n">
        <v>3</v>
      </c>
      <c r="W27" s="6" t="n">
        <v>11</v>
      </c>
      <c r="X27" s="6" t="n">
        <v>0</v>
      </c>
      <c r="Y27" s="8" t="n">
        <v>74.39</v>
      </c>
      <c r="Z27" s="9" t="inlineStr">
        <is>
          <t>Success</t>
        </is>
      </c>
      <c r="AA27" s="2" t="inlineStr">
        <is>
          <t>2026-10-08 17:56:02</t>
        </is>
      </c>
    </row>
    <row r="28" ht="21.95" customHeight="1">
      <c r="A28" s="2" t="n">
        <v>27</v>
      </c>
      <c r="B28" s="31" t="inlineStr">
        <is>
          <t>http://www.longdo.com</t>
        </is>
      </c>
      <c r="C28" s="2" t="inlineStr">
        <is>
          <t>อินเทอร์เน็ต</t>
        </is>
      </c>
      <c r="D28" s="10">
        <f>F28/71</f>
        <v/>
      </c>
      <c r="E28" s="11">
        <f>IF(D28&gt;=0.9,"ดีเยี่ยม",IF(D28&gt;=0.7,"ดี",IF(D28&gt;=0.5,"พอใช้","ต้องปรับปรุง")))</f>
        <v/>
      </c>
      <c r="F28" s="6">
        <f>J28+N28+R28+V28</f>
        <v/>
      </c>
      <c r="G28" s="6">
        <f>K28+O28+S28+W28</f>
        <v/>
      </c>
      <c r="H28" s="6">
        <f>L28+P28+T28+X28</f>
        <v/>
      </c>
      <c r="I28" s="7">
        <f>J28/37</f>
        <v/>
      </c>
      <c r="J28" s="6" t="n">
        <v>32</v>
      </c>
      <c r="K28" s="6" t="n">
        <v>5</v>
      </c>
      <c r="L28" s="6" t="n">
        <v>0</v>
      </c>
      <c r="M28" s="7">
        <f>N28/9</f>
        <v/>
      </c>
      <c r="N28" s="6" t="n">
        <v>8</v>
      </c>
      <c r="O28" s="6" t="n">
        <v>1</v>
      </c>
      <c r="P28" s="6" t="n">
        <v>0</v>
      </c>
      <c r="Q28" s="7">
        <f>R28/11</f>
        <v/>
      </c>
      <c r="R28" s="6" t="n">
        <v>4</v>
      </c>
      <c r="S28" s="6" t="n">
        <v>3</v>
      </c>
      <c r="T28" s="6" t="n">
        <v>4</v>
      </c>
      <c r="U28" s="7">
        <f>V28/14</f>
        <v/>
      </c>
      <c r="V28" s="6" t="n">
        <v>2</v>
      </c>
      <c r="W28" s="6" t="n">
        <v>12</v>
      </c>
      <c r="X28" s="6" t="n">
        <v>0</v>
      </c>
      <c r="Y28" s="8" t="n">
        <v>18.87</v>
      </c>
      <c r="Z28" s="9" t="inlineStr">
        <is>
          <t>Success</t>
        </is>
      </c>
      <c r="AA28" s="2" t="inlineStr">
        <is>
          <t>2026-10-08 17:56:21</t>
        </is>
      </c>
    </row>
    <row r="29" ht="21.95" customHeight="1">
      <c r="A29" s="2" t="n">
        <v>28</v>
      </c>
      <c r="B29" s="31" t="inlineStr">
        <is>
          <t>http://www.prachachat.net</t>
        </is>
      </c>
      <c r="C29" s="2" t="inlineStr">
        <is>
          <t>ข่าว-สื่อ</t>
        </is>
      </c>
      <c r="D29" s="4">
        <f>F29/71</f>
        <v/>
      </c>
      <c r="E29" s="5">
        <f>IF(D29&gt;=0.9,"ดีเยี่ยม",IF(D29&gt;=0.7,"ดี",IF(D29&gt;=0.5,"พอใช้","ต้องปรับปรุง")))</f>
        <v/>
      </c>
      <c r="F29" s="6">
        <f>J29+N29+R29+V29</f>
        <v/>
      </c>
      <c r="G29" s="6">
        <f>K29+O29+S29+W29</f>
        <v/>
      </c>
      <c r="H29" s="6">
        <f>L29+P29+T29+X29</f>
        <v/>
      </c>
      <c r="I29" s="7">
        <f>J29/37</f>
        <v/>
      </c>
      <c r="J29" s="6" t="n">
        <v>37</v>
      </c>
      <c r="K29" s="6" t="n">
        <v>0</v>
      </c>
      <c r="L29" s="6" t="n">
        <v>0</v>
      </c>
      <c r="M29" s="7">
        <f>N29/9</f>
        <v/>
      </c>
      <c r="N29" s="6" t="n">
        <v>7</v>
      </c>
      <c r="O29" s="6" t="n">
        <v>2</v>
      </c>
      <c r="P29" s="6" t="n">
        <v>0</v>
      </c>
      <c r="Q29" s="7">
        <f>R29/11</f>
        <v/>
      </c>
      <c r="R29" s="6" t="n">
        <v>6</v>
      </c>
      <c r="S29" s="6" t="n">
        <v>1</v>
      </c>
      <c r="T29" s="6" t="n">
        <v>4</v>
      </c>
      <c r="U29" s="7">
        <f>V29/14</f>
        <v/>
      </c>
      <c r="V29" s="6" t="n">
        <v>5</v>
      </c>
      <c r="W29" s="6" t="n">
        <v>8</v>
      </c>
      <c r="X29" s="6" t="n">
        <v>1</v>
      </c>
      <c r="Y29" s="8" t="n">
        <v>24.02</v>
      </c>
      <c r="Z29" s="9" t="inlineStr">
        <is>
          <t>Success</t>
        </is>
      </c>
      <c r="AA29" s="2" t="inlineStr">
        <is>
          <t>2026-10-08 17:56:45</t>
        </is>
      </c>
    </row>
    <row r="30" ht="21.95" customHeight="1">
      <c r="A30" s="2" t="n">
        <v>29</v>
      </c>
      <c r="B30" s="31" t="inlineStr">
        <is>
          <t>http://www.thansettakij.com</t>
        </is>
      </c>
      <c r="C30" s="2" t="inlineStr">
        <is>
          <t>ข่าว-สื่อ</t>
        </is>
      </c>
      <c r="D30" s="4">
        <f>F30/71</f>
        <v/>
      </c>
      <c r="E30" s="5">
        <f>IF(D30&gt;=0.9,"ดีเยี่ยม",IF(D30&gt;=0.7,"ดี",IF(D30&gt;=0.5,"พอใช้","ต้องปรับปรุง")))</f>
        <v/>
      </c>
      <c r="F30" s="6">
        <f>J30+N30+R30+V30</f>
        <v/>
      </c>
      <c r="G30" s="6">
        <f>K30+O30+S30+W30</f>
        <v/>
      </c>
      <c r="H30" s="6">
        <f>L30+P30+T30+X30</f>
        <v/>
      </c>
      <c r="I30" s="7">
        <f>J30/37</f>
        <v/>
      </c>
      <c r="J30" s="6" t="n">
        <v>35</v>
      </c>
      <c r="K30" s="6" t="n">
        <v>1</v>
      </c>
      <c r="L30" s="6" t="n">
        <v>1</v>
      </c>
      <c r="M30" s="7">
        <f>N30/9</f>
        <v/>
      </c>
      <c r="N30" s="6" t="n">
        <v>7</v>
      </c>
      <c r="O30" s="6" t="n">
        <v>2</v>
      </c>
      <c r="P30" s="6" t="n">
        <v>0</v>
      </c>
      <c r="Q30" s="7">
        <f>R30/11</f>
        <v/>
      </c>
      <c r="R30" s="6" t="n">
        <v>6</v>
      </c>
      <c r="S30" s="6" t="n">
        <v>1</v>
      </c>
      <c r="T30" s="6" t="n">
        <v>4</v>
      </c>
      <c r="U30" s="7">
        <f>V30/14</f>
        <v/>
      </c>
      <c r="V30" s="6" t="n">
        <v>4</v>
      </c>
      <c r="W30" s="6" t="n">
        <v>8</v>
      </c>
      <c r="X30" s="6" t="n">
        <v>2</v>
      </c>
      <c r="Y30" s="8" t="n">
        <v>18.21</v>
      </c>
      <c r="Z30" s="9" t="inlineStr">
        <is>
          <t>Success</t>
        </is>
      </c>
      <c r="AA30" s="2" t="inlineStr">
        <is>
          <t>2026-10-08 17:57:03</t>
        </is>
      </c>
    </row>
    <row r="31" ht="21.95" customHeight="1">
      <c r="A31" s="2" t="n">
        <v>30</v>
      </c>
      <c r="B31" s="31" t="inlineStr">
        <is>
          <t>http://siamphone.com</t>
        </is>
      </c>
      <c r="C31" s="2" t="inlineStr">
        <is>
          <t>มือถือ-พีดีเอ</t>
        </is>
      </c>
      <c r="D31" s="4">
        <f>F31/71</f>
        <v/>
      </c>
      <c r="E31" s="5">
        <f>IF(D31&gt;=0.9,"ดีเยี่ยม",IF(D31&gt;=0.7,"ดี",IF(D31&gt;=0.5,"พอใช้","ต้องปรับปรุง")))</f>
        <v/>
      </c>
      <c r="F31" s="6">
        <f>J31+N31+R31+V31</f>
        <v/>
      </c>
      <c r="G31" s="6">
        <f>K31+O31+S31+W31</f>
        <v/>
      </c>
      <c r="H31" s="6">
        <f>L31+P31+T31+X31</f>
        <v/>
      </c>
      <c r="I31" s="7">
        <f>J31/37</f>
        <v/>
      </c>
      <c r="J31" s="6" t="n">
        <v>36</v>
      </c>
      <c r="K31" s="6" t="n">
        <v>1</v>
      </c>
      <c r="L31" s="6" t="n">
        <v>0</v>
      </c>
      <c r="M31" s="7">
        <f>N31/9</f>
        <v/>
      </c>
      <c r="N31" s="6" t="n">
        <v>8</v>
      </c>
      <c r="O31" s="6" t="n">
        <v>1</v>
      </c>
      <c r="P31" s="6" t="n">
        <v>0</v>
      </c>
      <c r="Q31" s="7">
        <f>R31/11</f>
        <v/>
      </c>
      <c r="R31" s="6" t="n">
        <v>4</v>
      </c>
      <c r="S31" s="6" t="n">
        <v>3</v>
      </c>
      <c r="T31" s="6" t="n">
        <v>4</v>
      </c>
      <c r="U31" s="7">
        <f>V31/14</f>
        <v/>
      </c>
      <c r="V31" s="6" t="n">
        <v>2</v>
      </c>
      <c r="W31" s="6" t="n">
        <v>12</v>
      </c>
      <c r="X31" s="6" t="n">
        <v>0</v>
      </c>
      <c r="Y31" s="8" t="n">
        <v>30.6</v>
      </c>
      <c r="Z31" s="9" t="inlineStr">
        <is>
          <t>Success</t>
        </is>
      </c>
      <c r="AA31" s="2" t="inlineStr">
        <is>
          <t>2026-10-08 17:57:34</t>
        </is>
      </c>
    </row>
    <row r="32" ht="21.95" customHeight="1">
      <c r="A32" s="2" t="n">
        <v>31</v>
      </c>
      <c r="B32" s="31" t="inlineStr">
        <is>
          <t>http://www.renthub.in.th</t>
        </is>
      </c>
      <c r="C32" s="2" t="inlineStr">
        <is>
          <t>อสังหาริมทรัพย์-ก่อสร้าง</t>
        </is>
      </c>
      <c r="D32" s="10">
        <f>F32/71</f>
        <v/>
      </c>
      <c r="E32" s="11">
        <f>IF(D32&gt;=0.9,"ดีเยี่ยม",IF(D32&gt;=0.7,"ดี",IF(D32&gt;=0.5,"พอใช้","ต้องปรับปรุง")))</f>
        <v/>
      </c>
      <c r="F32" s="6">
        <f>J32+N32+R32+V32</f>
        <v/>
      </c>
      <c r="G32" s="6">
        <f>K32+O32+S32+W32</f>
        <v/>
      </c>
      <c r="H32" s="6">
        <f>L32+P32+T32+X32</f>
        <v/>
      </c>
      <c r="I32" s="7">
        <f>J32/37</f>
        <v/>
      </c>
      <c r="J32" s="6" t="n">
        <v>31</v>
      </c>
      <c r="K32" s="6" t="n">
        <v>6</v>
      </c>
      <c r="L32" s="6" t="n">
        <v>0</v>
      </c>
      <c r="M32" s="7">
        <f>N32/9</f>
        <v/>
      </c>
      <c r="N32" s="6" t="n">
        <v>7</v>
      </c>
      <c r="O32" s="6" t="n">
        <v>2</v>
      </c>
      <c r="P32" s="6" t="n">
        <v>0</v>
      </c>
      <c r="Q32" s="7">
        <f>R32/11</f>
        <v/>
      </c>
      <c r="R32" s="6" t="n">
        <v>4</v>
      </c>
      <c r="S32" s="6" t="n">
        <v>3</v>
      </c>
      <c r="T32" s="6" t="n">
        <v>4</v>
      </c>
      <c r="U32" s="7">
        <f>V32/14</f>
        <v/>
      </c>
      <c r="V32" s="6" t="n">
        <v>2</v>
      </c>
      <c r="W32" s="6" t="n">
        <v>11</v>
      </c>
      <c r="X32" s="6" t="n">
        <v>1</v>
      </c>
      <c r="Y32" s="8" t="n">
        <v>28.03</v>
      </c>
      <c r="Z32" s="9" t="inlineStr">
        <is>
          <t>Success</t>
        </is>
      </c>
      <c r="AA32" s="2" t="inlineStr">
        <is>
          <t>2026-10-08 17:58:02</t>
        </is>
      </c>
    </row>
    <row r="33" ht="21.95" customHeight="1">
      <c r="A33" s="2" t="n">
        <v>32</v>
      </c>
      <c r="B33" s="31" t="inlineStr">
        <is>
          <t>http://www.trueplookpanya.com</t>
        </is>
      </c>
      <c r="C33" s="2" t="inlineStr">
        <is>
          <t>การศึกษา</t>
        </is>
      </c>
      <c r="D33" s="10">
        <f>F33/71</f>
        <v/>
      </c>
      <c r="E33" s="11">
        <f>IF(D33&gt;=0.9,"ดีเยี่ยม",IF(D33&gt;=0.7,"ดี",IF(D33&gt;=0.5,"พอใช้","ต้องปรับปรุง")))</f>
        <v/>
      </c>
      <c r="F33" s="6">
        <f>J33+N33+R33+V33</f>
        <v/>
      </c>
      <c r="G33" s="6">
        <f>K33+O33+S33+W33</f>
        <v/>
      </c>
      <c r="H33" s="6">
        <f>L33+P33+T33+X33</f>
        <v/>
      </c>
      <c r="I33" s="7">
        <f>J33/37</f>
        <v/>
      </c>
      <c r="J33" s="6" t="n">
        <v>32</v>
      </c>
      <c r="K33" s="6" t="n">
        <v>5</v>
      </c>
      <c r="L33" s="6" t="n">
        <v>0</v>
      </c>
      <c r="M33" s="7">
        <f>N33/9</f>
        <v/>
      </c>
      <c r="N33" s="6" t="n">
        <v>8</v>
      </c>
      <c r="O33" s="6" t="n">
        <v>1</v>
      </c>
      <c r="P33" s="6" t="n">
        <v>0</v>
      </c>
      <c r="Q33" s="7">
        <f>R33/11</f>
        <v/>
      </c>
      <c r="R33" s="6" t="n">
        <v>3</v>
      </c>
      <c r="S33" s="6" t="n">
        <v>4</v>
      </c>
      <c r="T33" s="6" t="n">
        <v>4</v>
      </c>
      <c r="U33" s="7">
        <f>V33/14</f>
        <v/>
      </c>
      <c r="V33" s="6" t="n">
        <v>2</v>
      </c>
      <c r="W33" s="6" t="n">
        <v>12</v>
      </c>
      <c r="X33" s="6" t="n">
        <v>0</v>
      </c>
      <c r="Y33" s="8" t="n">
        <v>83.78</v>
      </c>
      <c r="Z33" s="9" t="inlineStr">
        <is>
          <t>Success</t>
        </is>
      </c>
      <c r="AA33" s="2" t="inlineStr">
        <is>
          <t>2026-10-08 17:59:26</t>
        </is>
      </c>
    </row>
    <row r="34" ht="21.95" customHeight="1">
      <c r="A34" s="2" t="n">
        <v>33</v>
      </c>
      <c r="B34" s="31" t="inlineStr">
        <is>
          <t>http://www.propertyhub.in.th</t>
        </is>
      </c>
      <c r="C34" s="2" t="inlineStr">
        <is>
          <t>อสังหาริมทรัพย์-ก่อสร้าง</t>
        </is>
      </c>
      <c r="D34" s="25">
        <f>F34/71</f>
        <v/>
      </c>
      <c r="E34" s="26">
        <f>IF(D34&gt;=0.9,"ดีเยี่ยม",IF(D34&gt;=0.7,"ดี",IF(D34&gt;=0.5,"พอใช้","ต้องปรับปรุง")))</f>
        <v/>
      </c>
      <c r="F34" s="6">
        <f>J34+N34+R34+V34</f>
        <v/>
      </c>
      <c r="G34" s="6">
        <f>K34+O34+S34+W34</f>
        <v/>
      </c>
      <c r="H34" s="6">
        <f>L34+P34+T34+X34</f>
        <v/>
      </c>
      <c r="I34" s="7">
        <f>J34/37</f>
        <v/>
      </c>
      <c r="J34" s="6" t="n">
        <v>0</v>
      </c>
      <c r="K34" s="6" t="n">
        <v>37</v>
      </c>
      <c r="L34" s="6" t="n">
        <v>0</v>
      </c>
      <c r="M34" s="7">
        <f>N34/9</f>
        <v/>
      </c>
      <c r="N34" s="6" t="n">
        <v>0</v>
      </c>
      <c r="O34" s="6" t="n">
        <v>9</v>
      </c>
      <c r="P34" s="6" t="n">
        <v>0</v>
      </c>
      <c r="Q34" s="7">
        <f>R34/11</f>
        <v/>
      </c>
      <c r="R34" s="6" t="n">
        <v>0</v>
      </c>
      <c r="S34" s="6" t="n">
        <v>11</v>
      </c>
      <c r="T34" s="6" t="n">
        <v>0</v>
      </c>
      <c r="U34" s="7">
        <f>V34/14</f>
        <v/>
      </c>
      <c r="V34" s="6" t="n">
        <v>0</v>
      </c>
      <c r="W34" s="6" t="n">
        <v>14</v>
      </c>
      <c r="X34" s="6" t="n">
        <v>0</v>
      </c>
      <c r="Y34" s="8" t="n">
        <v>0.24</v>
      </c>
      <c r="Z34" s="27" t="inlineStr">
        <is>
          <t>Failed (โดนบล็อก / เข้าถึงไม่ได้ (HTTP 403))</t>
        </is>
      </c>
      <c r="AA34" s="2" t="inlineStr">
        <is>
          <t>2026-10-21 00:13:37</t>
        </is>
      </c>
    </row>
    <row r="35" ht="21.95" customHeight="1">
      <c r="A35" s="2" t="n">
        <v>34</v>
      </c>
      <c r="B35" s="31" t="inlineStr">
        <is>
          <t>http://www.meemodel.com</t>
        </is>
      </c>
      <c r="C35" s="2" t="inlineStr">
        <is>
          <t>บันเทิง</t>
        </is>
      </c>
      <c r="D35" s="10">
        <f>F35/71</f>
        <v/>
      </c>
      <c r="E35" s="11">
        <f>IF(D35&gt;=0.9,"ดีเยี่ยม",IF(D35&gt;=0.7,"ดี",IF(D35&gt;=0.5,"พอใช้","ต้องปรับปรุง")))</f>
        <v/>
      </c>
      <c r="F35" s="6">
        <f>J35+N35+R35+V35</f>
        <v/>
      </c>
      <c r="G35" s="6">
        <f>K35+O35+S35+W35</f>
        <v/>
      </c>
      <c r="H35" s="6">
        <f>L35+P35+T35+X35</f>
        <v/>
      </c>
      <c r="I35" s="7">
        <f>J35/37</f>
        <v/>
      </c>
      <c r="J35" s="6" t="n">
        <v>36</v>
      </c>
      <c r="K35" s="6" t="n">
        <v>1</v>
      </c>
      <c r="L35" s="6" t="n">
        <v>0</v>
      </c>
      <c r="M35" s="7">
        <f>N35/9</f>
        <v/>
      </c>
      <c r="N35" s="6" t="n">
        <v>6</v>
      </c>
      <c r="O35" s="6" t="n">
        <v>1</v>
      </c>
      <c r="P35" s="6" t="n">
        <v>2</v>
      </c>
      <c r="Q35" s="7">
        <f>R35/11</f>
        <v/>
      </c>
      <c r="R35" s="6" t="n">
        <v>3</v>
      </c>
      <c r="S35" s="6" t="n">
        <v>4</v>
      </c>
      <c r="T35" s="6" t="n">
        <v>4</v>
      </c>
      <c r="U35" s="7">
        <f>V35/14</f>
        <v/>
      </c>
      <c r="V35" s="6" t="n">
        <v>1</v>
      </c>
      <c r="W35" s="6" t="n">
        <v>13</v>
      </c>
      <c r="X35" s="6" t="n">
        <v>0</v>
      </c>
      <c r="Y35" s="8" t="n">
        <v>17.49</v>
      </c>
      <c r="Z35" s="9" t="inlineStr">
        <is>
          <t>Success</t>
        </is>
      </c>
      <c r="AA35" s="2" t="inlineStr">
        <is>
          <t>2026-10-08 18:00:03</t>
        </is>
      </c>
    </row>
    <row r="36" ht="21.95" customHeight="1">
      <c r="A36" s="2" t="n">
        <v>35</v>
      </c>
      <c r="B36" s="31" t="inlineStr">
        <is>
          <t>http://coolism.net</t>
        </is>
      </c>
      <c r="C36" s="2" t="inlineStr">
        <is>
          <t>ข่าว-สื่อ</t>
        </is>
      </c>
      <c r="D36" s="4">
        <f>F36/71</f>
        <v/>
      </c>
      <c r="E36" s="5">
        <f>IF(D36&gt;=0.9,"ดีเยี่ยม",IF(D36&gt;=0.7,"ดี",IF(D36&gt;=0.5,"พอใช้","ต้องปรับปรุง")))</f>
        <v/>
      </c>
      <c r="F36" s="6">
        <f>J36+N36+R36+V36</f>
        <v/>
      </c>
      <c r="G36" s="6">
        <f>K36+O36+S36+W36</f>
        <v/>
      </c>
      <c r="H36" s="6">
        <f>L36+P36+T36+X36</f>
        <v/>
      </c>
      <c r="I36" s="7">
        <f>J36/37</f>
        <v/>
      </c>
      <c r="J36" s="6" t="n">
        <v>35</v>
      </c>
      <c r="K36" s="6" t="n">
        <v>2</v>
      </c>
      <c r="L36" s="6" t="n">
        <v>0</v>
      </c>
      <c r="M36" s="7">
        <f>N36/9</f>
        <v/>
      </c>
      <c r="N36" s="6" t="n">
        <v>8</v>
      </c>
      <c r="O36" s="6" t="n">
        <v>1</v>
      </c>
      <c r="P36" s="6" t="n">
        <v>0</v>
      </c>
      <c r="Q36" s="7">
        <f>R36/11</f>
        <v/>
      </c>
      <c r="R36" s="6" t="n">
        <v>5</v>
      </c>
      <c r="S36" s="6" t="n">
        <v>3</v>
      </c>
      <c r="T36" s="6" t="n">
        <v>3</v>
      </c>
      <c r="U36" s="7">
        <f>V36/14</f>
        <v/>
      </c>
      <c r="V36" s="6" t="n">
        <v>2</v>
      </c>
      <c r="W36" s="6" t="n">
        <v>12</v>
      </c>
      <c r="X36" s="6" t="n">
        <v>0</v>
      </c>
      <c r="Y36" s="8" t="n">
        <v>20.59</v>
      </c>
      <c r="Z36" s="9" t="inlineStr">
        <is>
          <t>Success</t>
        </is>
      </c>
      <c r="AA36" s="2" t="inlineStr">
        <is>
          <t>2026-10-08 18:00:24</t>
        </is>
      </c>
    </row>
    <row r="37" ht="21.95" customHeight="1">
      <c r="A37" s="2" t="n">
        <v>36</v>
      </c>
      <c r="B37" s="31" t="inlineStr">
        <is>
          <t>http://www.yellowpages.co.th</t>
        </is>
      </c>
      <c r="C37" s="2" t="inlineStr">
        <is>
          <t>ธุรกิจ</t>
        </is>
      </c>
      <c r="D37" s="4">
        <f>F37/71</f>
        <v/>
      </c>
      <c r="E37" s="5">
        <f>IF(D37&gt;=0.9,"ดีเยี่ยม",IF(D37&gt;=0.7,"ดี",IF(D37&gt;=0.5,"พอใช้","ต้องปรับปรุง")))</f>
        <v/>
      </c>
      <c r="F37" s="6">
        <f>J37+N37+R37+V37</f>
        <v/>
      </c>
      <c r="G37" s="6">
        <f>K37+O37+S37+W37</f>
        <v/>
      </c>
      <c r="H37" s="6">
        <f>L37+P37+T37+X37</f>
        <v/>
      </c>
      <c r="I37" s="7">
        <f>J37/37</f>
        <v/>
      </c>
      <c r="J37" s="6" t="n">
        <v>32</v>
      </c>
      <c r="K37" s="6" t="n">
        <v>4</v>
      </c>
      <c r="L37" s="6" t="n">
        <v>1</v>
      </c>
      <c r="M37" s="7">
        <f>N37/9</f>
        <v/>
      </c>
      <c r="N37" s="6" t="n">
        <v>9</v>
      </c>
      <c r="O37" s="6" t="n">
        <v>0</v>
      </c>
      <c r="P37" s="6" t="n">
        <v>0</v>
      </c>
      <c r="Q37" s="7">
        <f>R37/11</f>
        <v/>
      </c>
      <c r="R37" s="6" t="n">
        <v>7</v>
      </c>
      <c r="S37" s="6" t="n">
        <v>3</v>
      </c>
      <c r="T37" s="6" t="n">
        <v>1</v>
      </c>
      <c r="U37" s="7">
        <f>V37/14</f>
        <v/>
      </c>
      <c r="V37" s="6" t="n">
        <v>5</v>
      </c>
      <c r="W37" s="6" t="n">
        <v>9</v>
      </c>
      <c r="X37" s="6" t="n">
        <v>0</v>
      </c>
      <c r="Y37" s="8" t="n">
        <v>11.58</v>
      </c>
      <c r="Z37" s="9" t="inlineStr">
        <is>
          <t>Success</t>
        </is>
      </c>
      <c r="AA37" s="2" t="inlineStr">
        <is>
          <t>2026-10-08 18:00:36</t>
        </is>
      </c>
    </row>
    <row r="38" ht="21.95" customHeight="1">
      <c r="A38" s="2" t="n">
        <v>37</v>
      </c>
      <c r="B38" s="31" t="inlineStr">
        <is>
          <t>http://droidsans.com</t>
        </is>
      </c>
      <c r="C38" s="2" t="inlineStr">
        <is>
          <t>มือถือ-พีดีเอ</t>
        </is>
      </c>
      <c r="D38" s="10">
        <f>F38/71</f>
        <v/>
      </c>
      <c r="E38" s="11">
        <f>IF(D38&gt;=0.9,"ดีเยี่ยม",IF(D38&gt;=0.7,"ดี",IF(D38&gt;=0.5,"พอใช้","ต้องปรับปรุง")))</f>
        <v/>
      </c>
      <c r="F38" s="6">
        <f>J38+N38+R38+V38</f>
        <v/>
      </c>
      <c r="G38" s="6">
        <f>K38+O38+S38+W38</f>
        <v/>
      </c>
      <c r="H38" s="6">
        <f>L38+P38+T38+X38</f>
        <v/>
      </c>
      <c r="I38" s="7">
        <f>J38/37</f>
        <v/>
      </c>
      <c r="J38" s="6" t="n">
        <v>36</v>
      </c>
      <c r="K38" s="6" t="n">
        <v>1</v>
      </c>
      <c r="L38" s="6" t="n">
        <v>0</v>
      </c>
      <c r="M38" s="7">
        <f>N38/9</f>
        <v/>
      </c>
      <c r="N38" s="6" t="n">
        <v>7</v>
      </c>
      <c r="O38" s="6" t="n">
        <v>1</v>
      </c>
      <c r="P38" s="6" t="n">
        <v>1</v>
      </c>
      <c r="Q38" s="7">
        <f>R38/11</f>
        <v/>
      </c>
      <c r="R38" s="6" t="n">
        <v>4</v>
      </c>
      <c r="S38" s="6" t="n">
        <v>3</v>
      </c>
      <c r="T38" s="6" t="n">
        <v>4</v>
      </c>
      <c r="U38" s="7">
        <f>V38/14</f>
        <v/>
      </c>
      <c r="V38" s="6" t="n">
        <v>2</v>
      </c>
      <c r="W38" s="6" t="n">
        <v>12</v>
      </c>
      <c r="X38" s="6" t="n">
        <v>0</v>
      </c>
      <c r="Y38" s="8" t="n">
        <v>19.71</v>
      </c>
      <c r="Z38" s="9" t="inlineStr">
        <is>
          <t>Success</t>
        </is>
      </c>
      <c r="AA38" s="2" t="inlineStr">
        <is>
          <t>2026-10-08 18:00:55</t>
        </is>
      </c>
    </row>
    <row r="39" ht="21.95" customHeight="1">
      <c r="A39" s="2" t="n">
        <v>38</v>
      </c>
      <c r="B39" s="31" t="inlineStr">
        <is>
          <t>http://www.headlightmag.com</t>
        </is>
      </c>
      <c r="C39" s="2" t="inlineStr">
        <is>
          <t>ยานยนต์</t>
        </is>
      </c>
      <c r="D39" s="4">
        <f>F39/71</f>
        <v/>
      </c>
      <c r="E39" s="5">
        <f>IF(D39&gt;=0.9,"ดีเยี่ยม",IF(D39&gt;=0.7,"ดี",IF(D39&gt;=0.5,"พอใช้","ต้องปรับปรุง")))</f>
        <v/>
      </c>
      <c r="F39" s="6">
        <f>J39+N39+R39+V39</f>
        <v/>
      </c>
      <c r="G39" s="6">
        <f>K39+O39+S39+W39</f>
        <v/>
      </c>
      <c r="H39" s="6">
        <f>L39+P39+T39+X39</f>
        <v/>
      </c>
      <c r="I39" s="7">
        <f>J39/37</f>
        <v/>
      </c>
      <c r="J39" s="6" t="n">
        <v>33</v>
      </c>
      <c r="K39" s="6" t="n">
        <v>4</v>
      </c>
      <c r="L39" s="6" t="n">
        <v>0</v>
      </c>
      <c r="M39" s="7">
        <f>N39/9</f>
        <v/>
      </c>
      <c r="N39" s="6" t="n">
        <v>8</v>
      </c>
      <c r="O39" s="6" t="n">
        <v>1</v>
      </c>
      <c r="P39" s="6" t="n">
        <v>0</v>
      </c>
      <c r="Q39" s="7">
        <f>R39/11</f>
        <v/>
      </c>
      <c r="R39" s="6" t="n">
        <v>5</v>
      </c>
      <c r="S39" s="6" t="n">
        <v>2</v>
      </c>
      <c r="T39" s="6" t="n">
        <v>4</v>
      </c>
      <c r="U39" s="7">
        <f>V39/14</f>
        <v/>
      </c>
      <c r="V39" s="6" t="n">
        <v>4</v>
      </c>
      <c r="W39" s="6" t="n">
        <v>10</v>
      </c>
      <c r="X39" s="6" t="n">
        <v>0</v>
      </c>
      <c r="Y39" s="8" t="n">
        <v>34.46</v>
      </c>
      <c r="Z39" s="9" t="inlineStr">
        <is>
          <t>Success</t>
        </is>
      </c>
      <c r="AA39" s="2" t="inlineStr">
        <is>
          <t>2026-10-08 18:01:30</t>
        </is>
      </c>
    </row>
    <row r="40" ht="21.95" customHeight="1">
      <c r="A40" s="2" t="n">
        <v>39</v>
      </c>
      <c r="B40" s="31" t="inlineStr">
        <is>
          <t>http://www.chillpainai.com</t>
        </is>
      </c>
      <c r="C40" s="2" t="inlineStr">
        <is>
          <t>ท่องเที่ยว</t>
        </is>
      </c>
      <c r="D40" s="10">
        <f>F40/71</f>
        <v/>
      </c>
      <c r="E40" s="11">
        <f>IF(D40&gt;=0.9,"ดีเยี่ยม",IF(D40&gt;=0.7,"ดี",IF(D40&gt;=0.5,"พอใช้","ต้องปรับปรุง")))</f>
        <v/>
      </c>
      <c r="F40" s="6">
        <f>J40+N40+R40+V40</f>
        <v/>
      </c>
      <c r="G40" s="6">
        <f>K40+O40+S40+W40</f>
        <v/>
      </c>
      <c r="H40" s="6">
        <f>L40+P40+T40+X40</f>
        <v/>
      </c>
      <c r="I40" s="7">
        <f>J40/37</f>
        <v/>
      </c>
      <c r="J40" s="6" t="n">
        <v>30</v>
      </c>
      <c r="K40" s="6" t="n">
        <v>7</v>
      </c>
      <c r="L40" s="6" t="n">
        <v>0</v>
      </c>
      <c r="M40" s="7">
        <f>N40/9</f>
        <v/>
      </c>
      <c r="N40" s="6" t="n">
        <v>8</v>
      </c>
      <c r="O40" s="6" t="n">
        <v>1</v>
      </c>
      <c r="P40" s="6" t="n">
        <v>0</v>
      </c>
      <c r="Q40" s="7">
        <f>R40/11</f>
        <v/>
      </c>
      <c r="R40" s="6" t="n">
        <v>4</v>
      </c>
      <c r="S40" s="6" t="n">
        <v>3</v>
      </c>
      <c r="T40" s="6" t="n">
        <v>4</v>
      </c>
      <c r="U40" s="7">
        <f>V40/14</f>
        <v/>
      </c>
      <c r="V40" s="6" t="n">
        <v>2</v>
      </c>
      <c r="W40" s="6" t="n">
        <v>12</v>
      </c>
      <c r="X40" s="6" t="n">
        <v>0</v>
      </c>
      <c r="Y40" s="8" t="n">
        <v>34.17</v>
      </c>
      <c r="Z40" s="9" t="inlineStr">
        <is>
          <t>Success</t>
        </is>
      </c>
      <c r="AA40" s="2" t="inlineStr">
        <is>
          <t>2026-10-08 18:02:04</t>
        </is>
      </c>
    </row>
    <row r="41" ht="21.95" customHeight="1">
      <c r="A41" s="2" t="n">
        <v>40</v>
      </c>
      <c r="B41" s="31" t="inlineStr">
        <is>
          <t>http://www.studentloan.or.th</t>
        </is>
      </c>
      <c r="C41" s="2" t="inlineStr">
        <is>
          <t>หน่วยงานราชการ,องค์กร</t>
        </is>
      </c>
      <c r="D41" s="4">
        <f>F41/71</f>
        <v/>
      </c>
      <c r="E41" s="5">
        <f>IF(D41&gt;=0.9,"ดีเยี่ยม",IF(D41&gt;=0.7,"ดี",IF(D41&gt;=0.5,"พอใช้","ต้องปรับปรุง")))</f>
        <v/>
      </c>
      <c r="F41" s="6">
        <f>J41+N41+R41+V41</f>
        <v/>
      </c>
      <c r="G41" s="6">
        <f>K41+O41+S41+W41</f>
        <v/>
      </c>
      <c r="H41" s="6">
        <f>L41+P41+T41+X41</f>
        <v/>
      </c>
      <c r="I41" s="7">
        <f>J41/37</f>
        <v/>
      </c>
      <c r="J41" s="6" t="n">
        <v>36</v>
      </c>
      <c r="K41" s="6" t="n">
        <v>0</v>
      </c>
      <c r="L41" s="6" t="n">
        <v>1</v>
      </c>
      <c r="M41" s="7">
        <f>N41/9</f>
        <v/>
      </c>
      <c r="N41" s="6" t="n">
        <v>7</v>
      </c>
      <c r="O41" s="6" t="n">
        <v>2</v>
      </c>
      <c r="P41" s="6" t="n">
        <v>0</v>
      </c>
      <c r="Q41" s="7">
        <f>R41/11</f>
        <v/>
      </c>
      <c r="R41" s="6" t="n">
        <v>6</v>
      </c>
      <c r="S41" s="6" t="n">
        <v>1</v>
      </c>
      <c r="T41" s="6" t="n">
        <v>4</v>
      </c>
      <c r="U41" s="7">
        <f>V41/14</f>
        <v/>
      </c>
      <c r="V41" s="6" t="n">
        <v>6</v>
      </c>
      <c r="W41" s="6" t="n">
        <v>5</v>
      </c>
      <c r="X41" s="6" t="n">
        <v>3</v>
      </c>
      <c r="Y41" s="8" t="n">
        <v>15.26</v>
      </c>
      <c r="Z41" s="9" t="inlineStr">
        <is>
          <t>Success</t>
        </is>
      </c>
      <c r="AA41" s="2" t="inlineStr">
        <is>
          <t>2026-10-08 18:02:19</t>
        </is>
      </c>
    </row>
    <row r="42" ht="21.95" customHeight="1">
      <c r="A42" s="2" t="n">
        <v>41</v>
      </c>
      <c r="B42" s="31" t="inlineStr">
        <is>
          <t>http://www.kaohoon.com</t>
        </is>
      </c>
      <c r="C42" s="2" t="inlineStr">
        <is>
          <t>ข่าว-สื่อ</t>
        </is>
      </c>
      <c r="D42" s="10">
        <f>F42/71</f>
        <v/>
      </c>
      <c r="E42" s="11">
        <f>IF(D42&gt;=0.9,"ดีเยี่ยม",IF(D42&gt;=0.7,"ดี",IF(D42&gt;=0.5,"พอใช้","ต้องปรับปรุง")))</f>
        <v/>
      </c>
      <c r="F42" s="6">
        <f>J42+N42+R42+V42</f>
        <v/>
      </c>
      <c r="G42" s="6">
        <f>K42+O42+S42+W42</f>
        <v/>
      </c>
      <c r="H42" s="6">
        <f>L42+P42+T42+X42</f>
        <v/>
      </c>
      <c r="I42" s="7">
        <f>J42/37</f>
        <v/>
      </c>
      <c r="J42" s="6" t="n">
        <v>30</v>
      </c>
      <c r="K42" s="6" t="n">
        <v>6</v>
      </c>
      <c r="L42" s="6" t="n">
        <v>1</v>
      </c>
      <c r="M42" s="7">
        <f>N42/9</f>
        <v/>
      </c>
      <c r="N42" s="6" t="n">
        <v>0</v>
      </c>
      <c r="O42" s="6" t="n">
        <v>0</v>
      </c>
      <c r="P42" s="6" t="n">
        <v>9</v>
      </c>
      <c r="Q42" s="7">
        <f>R42/11</f>
        <v/>
      </c>
      <c r="R42" s="6" t="n">
        <v>7</v>
      </c>
      <c r="S42" s="6" t="n">
        <v>3</v>
      </c>
      <c r="T42" s="6" t="n">
        <v>1</v>
      </c>
      <c r="U42" s="7">
        <f>V42/14</f>
        <v/>
      </c>
      <c r="V42" s="6" t="n">
        <v>2</v>
      </c>
      <c r="W42" s="6" t="n">
        <v>11</v>
      </c>
      <c r="X42" s="6" t="n">
        <v>1</v>
      </c>
      <c r="Y42" s="8" t="n">
        <v>120.21</v>
      </c>
      <c r="Z42" s="9" t="inlineStr">
        <is>
          <t>Success</t>
        </is>
      </c>
      <c r="AA42" s="2" t="inlineStr">
        <is>
          <t>2026-10-08 18:04:19</t>
        </is>
      </c>
    </row>
    <row r="43" ht="21.95" customHeight="1">
      <c r="A43" s="2" t="n">
        <v>42</v>
      </c>
      <c r="B43" s="31" t="inlineStr">
        <is>
          <t>http://www.posttoday.com</t>
        </is>
      </c>
      <c r="C43" s="2" t="inlineStr">
        <is>
          <t>ข่าว-สื่อ</t>
        </is>
      </c>
      <c r="D43" s="4">
        <f>F43/71</f>
        <v/>
      </c>
      <c r="E43" s="5">
        <f>IF(D43&gt;=0.9,"ดีเยี่ยม",IF(D43&gt;=0.7,"ดี",IF(D43&gt;=0.5,"พอใช้","ต้องปรับปรุง")))</f>
        <v/>
      </c>
      <c r="F43" s="6">
        <f>J43+N43+R43+V43</f>
        <v/>
      </c>
      <c r="G43" s="6">
        <f>K43+O43+S43+W43</f>
        <v/>
      </c>
      <c r="H43" s="6">
        <f>L43+P43+T43+X43</f>
        <v/>
      </c>
      <c r="I43" s="7">
        <f>J43/37</f>
        <v/>
      </c>
      <c r="J43" s="6" t="n">
        <v>35</v>
      </c>
      <c r="K43" s="6" t="n">
        <v>1</v>
      </c>
      <c r="L43" s="6" t="n">
        <v>1</v>
      </c>
      <c r="M43" s="7">
        <f>N43/9</f>
        <v/>
      </c>
      <c r="N43" s="6" t="n">
        <v>7</v>
      </c>
      <c r="O43" s="6" t="n">
        <v>2</v>
      </c>
      <c r="P43" s="6" t="n">
        <v>0</v>
      </c>
      <c r="Q43" s="7">
        <f>R43/11</f>
        <v/>
      </c>
      <c r="R43" s="6" t="n">
        <v>6</v>
      </c>
      <c r="S43" s="6" t="n">
        <v>1</v>
      </c>
      <c r="T43" s="6" t="n">
        <v>4</v>
      </c>
      <c r="U43" s="7">
        <f>V43/14</f>
        <v/>
      </c>
      <c r="V43" s="6" t="n">
        <v>4</v>
      </c>
      <c r="W43" s="6" t="n">
        <v>8</v>
      </c>
      <c r="X43" s="6" t="n">
        <v>2</v>
      </c>
      <c r="Y43" s="8" t="n">
        <v>17.24</v>
      </c>
      <c r="Z43" s="9" t="inlineStr">
        <is>
          <t>Success</t>
        </is>
      </c>
      <c r="AA43" s="2" t="inlineStr">
        <is>
          <t>2026-10-08 18:04:37</t>
        </is>
      </c>
    </row>
    <row r="44" ht="21.95" customHeight="1">
      <c r="A44" s="2" t="n">
        <v>43</v>
      </c>
      <c r="B44" s="31" t="inlineStr">
        <is>
          <t>http://nationthailand.com</t>
        </is>
      </c>
      <c r="C44" s="2" t="inlineStr">
        <is>
          <t>ข่าว-สื่อ</t>
        </is>
      </c>
      <c r="D44" s="10">
        <f>F44/71</f>
        <v/>
      </c>
      <c r="E44" s="11">
        <f>IF(D44&gt;=0.9,"ดีเยี่ยม",IF(D44&gt;=0.7,"ดี",IF(D44&gt;=0.5,"พอใช้","ต้องปรับปรุง")))</f>
        <v/>
      </c>
      <c r="F44" s="6">
        <f>J44+N44+R44+V44</f>
        <v/>
      </c>
      <c r="G44" s="6">
        <f>K44+O44+S44+W44</f>
        <v/>
      </c>
      <c r="H44" s="6">
        <f>L44+P44+T44+X44</f>
        <v/>
      </c>
      <c r="I44" s="7">
        <f>J44/37</f>
        <v/>
      </c>
      <c r="J44" s="6" t="n">
        <v>33</v>
      </c>
      <c r="K44" s="6" t="n">
        <v>3</v>
      </c>
      <c r="L44" s="6" t="n">
        <v>1</v>
      </c>
      <c r="M44" s="7">
        <f>N44/9</f>
        <v/>
      </c>
      <c r="N44" s="6" t="n">
        <v>7</v>
      </c>
      <c r="O44" s="6" t="n">
        <v>2</v>
      </c>
      <c r="P44" s="6" t="n">
        <v>0</v>
      </c>
      <c r="Q44" s="7">
        <f>R44/11</f>
        <v/>
      </c>
      <c r="R44" s="6" t="n">
        <v>4</v>
      </c>
      <c r="S44" s="6" t="n">
        <v>3</v>
      </c>
      <c r="T44" s="6" t="n">
        <v>4</v>
      </c>
      <c r="U44" s="7">
        <f>V44/14</f>
        <v/>
      </c>
      <c r="V44" s="6" t="n">
        <v>2</v>
      </c>
      <c r="W44" s="6" t="n">
        <v>12</v>
      </c>
      <c r="X44" s="6" t="n">
        <v>0</v>
      </c>
      <c r="Y44" s="8" t="n">
        <v>20.54</v>
      </c>
      <c r="Z44" s="9" t="inlineStr">
        <is>
          <t>Success</t>
        </is>
      </c>
      <c r="AA44" s="2" t="inlineStr">
        <is>
          <t>2026-10-08 18:04:57</t>
        </is>
      </c>
    </row>
    <row r="45" ht="21.95" customHeight="1">
      <c r="A45" s="2" t="n">
        <v>44</v>
      </c>
      <c r="B45" s="31" t="inlineStr">
        <is>
          <t>http://www.thainewsonline.co</t>
        </is>
      </c>
      <c r="C45" s="2" t="inlineStr">
        <is>
          <t>ข่าว-สื่อ</t>
        </is>
      </c>
      <c r="D45" s="4">
        <f>F45/71</f>
        <v/>
      </c>
      <c r="E45" s="5">
        <f>IF(D45&gt;=0.9,"ดีเยี่ยม",IF(D45&gt;=0.7,"ดี",IF(D45&gt;=0.5,"พอใช้","ต้องปรับปรุง")))</f>
        <v/>
      </c>
      <c r="F45" s="6">
        <f>J45+N45+R45+V45</f>
        <v/>
      </c>
      <c r="G45" s="6">
        <f>K45+O45+S45+W45</f>
        <v/>
      </c>
      <c r="H45" s="6">
        <f>L45+P45+T45+X45</f>
        <v/>
      </c>
      <c r="I45" s="7">
        <f>J45/37</f>
        <v/>
      </c>
      <c r="J45" s="6" t="n">
        <v>35</v>
      </c>
      <c r="K45" s="6" t="n">
        <v>0</v>
      </c>
      <c r="L45" s="6" t="n">
        <v>2</v>
      </c>
      <c r="M45" s="7">
        <f>N45/9</f>
        <v/>
      </c>
      <c r="N45" s="6" t="n">
        <v>7</v>
      </c>
      <c r="O45" s="6" t="n">
        <v>2</v>
      </c>
      <c r="P45" s="6" t="n">
        <v>0</v>
      </c>
      <c r="Q45" s="7">
        <f>R45/11</f>
        <v/>
      </c>
      <c r="R45" s="6" t="n">
        <v>6</v>
      </c>
      <c r="S45" s="6" t="n">
        <v>1</v>
      </c>
      <c r="T45" s="6" t="n">
        <v>4</v>
      </c>
      <c r="U45" s="7">
        <f>V45/14</f>
        <v/>
      </c>
      <c r="V45" s="6" t="n">
        <v>4</v>
      </c>
      <c r="W45" s="6" t="n">
        <v>8</v>
      </c>
      <c r="X45" s="6" t="n">
        <v>2</v>
      </c>
      <c r="Y45" s="8" t="n">
        <v>25.81</v>
      </c>
      <c r="Z45" s="9" t="inlineStr">
        <is>
          <t>Success</t>
        </is>
      </c>
      <c r="AA45" s="2" t="inlineStr">
        <is>
          <t>2026-10-08 18:05:23</t>
        </is>
      </c>
    </row>
    <row r="46" ht="21.95" customHeight="1">
      <c r="A46" s="2" t="n">
        <v>45</v>
      </c>
      <c r="B46" s="31" t="inlineStr">
        <is>
          <t>http://www.checkraka.com</t>
        </is>
      </c>
      <c r="C46" s="2" t="inlineStr">
        <is>
          <t>ยานยนต์</t>
        </is>
      </c>
      <c r="D46" s="10">
        <f>F46/71</f>
        <v/>
      </c>
      <c r="E46" s="11">
        <f>IF(D46&gt;=0.9,"ดีเยี่ยม",IF(D46&gt;=0.7,"ดี",IF(D46&gt;=0.5,"พอใช้","ต้องปรับปรุง")))</f>
        <v/>
      </c>
      <c r="F46" s="6">
        <f>J46+N46+R46+V46</f>
        <v/>
      </c>
      <c r="G46" s="6">
        <f>K46+O46+S46+W46</f>
        <v/>
      </c>
      <c r="H46" s="6">
        <f>L46+P46+T46+X46</f>
        <v/>
      </c>
      <c r="I46" s="7">
        <f>J46/37</f>
        <v/>
      </c>
      <c r="J46" s="6" t="n">
        <v>33</v>
      </c>
      <c r="K46" s="6" t="n">
        <v>4</v>
      </c>
      <c r="L46" s="6" t="n">
        <v>0</v>
      </c>
      <c r="M46" s="7">
        <f>N46/9</f>
        <v/>
      </c>
      <c r="N46" s="6" t="n">
        <v>6</v>
      </c>
      <c r="O46" s="6" t="n">
        <v>3</v>
      </c>
      <c r="P46" s="6" t="n">
        <v>0</v>
      </c>
      <c r="Q46" s="7">
        <f>R46/11</f>
        <v/>
      </c>
      <c r="R46" s="6" t="n">
        <v>4</v>
      </c>
      <c r="S46" s="6" t="n">
        <v>3</v>
      </c>
      <c r="T46" s="6" t="n">
        <v>4</v>
      </c>
      <c r="U46" s="7">
        <f>V46/14</f>
        <v/>
      </c>
      <c r="V46" s="6" t="n">
        <v>3</v>
      </c>
      <c r="W46" s="6" t="n">
        <v>9</v>
      </c>
      <c r="X46" s="6" t="n">
        <v>2</v>
      </c>
      <c r="Y46" s="8" t="n">
        <v>21.95</v>
      </c>
      <c r="Z46" s="9" t="inlineStr">
        <is>
          <t>Success</t>
        </is>
      </c>
      <c r="AA46" s="2" t="inlineStr">
        <is>
          <t>2026-10-08 18:05:45</t>
        </is>
      </c>
    </row>
    <row r="47" ht="21.95" customHeight="1">
      <c r="A47" s="2" t="n">
        <v>46</v>
      </c>
      <c r="B47" s="31" t="inlineStr">
        <is>
          <t>http://www.bts.co.th</t>
        </is>
      </c>
      <c r="C47" s="2" t="inlineStr">
        <is>
          <t>ธุรกิจ</t>
        </is>
      </c>
      <c r="D47" s="4">
        <f>F47/71</f>
        <v/>
      </c>
      <c r="E47" s="5">
        <f>IF(D47&gt;=0.9,"ดีเยี่ยม",IF(D47&gt;=0.7,"ดี",IF(D47&gt;=0.5,"พอใช้","ต้องปรับปรุง")))</f>
        <v/>
      </c>
      <c r="F47" s="6">
        <f>J47+N47+R47+V47</f>
        <v/>
      </c>
      <c r="G47" s="6">
        <f>K47+O47+S47+W47</f>
        <v/>
      </c>
      <c r="H47" s="6">
        <f>L47+P47+T47+X47</f>
        <v/>
      </c>
      <c r="I47" s="7">
        <f>J47/37</f>
        <v/>
      </c>
      <c r="J47" s="6" t="n">
        <v>35</v>
      </c>
      <c r="K47" s="6" t="n">
        <v>2</v>
      </c>
      <c r="L47" s="6" t="n">
        <v>0</v>
      </c>
      <c r="M47" s="7">
        <f>N47/9</f>
        <v/>
      </c>
      <c r="N47" s="6" t="n">
        <v>7</v>
      </c>
      <c r="O47" s="6" t="n">
        <v>2</v>
      </c>
      <c r="P47" s="6" t="n">
        <v>0</v>
      </c>
      <c r="Q47" s="7">
        <f>R47/11</f>
        <v/>
      </c>
      <c r="R47" s="6" t="n">
        <v>9</v>
      </c>
      <c r="S47" s="6" t="n">
        <v>1</v>
      </c>
      <c r="T47" s="6" t="n">
        <v>1</v>
      </c>
      <c r="U47" s="7">
        <f>V47/14</f>
        <v/>
      </c>
      <c r="V47" s="6" t="n">
        <v>6</v>
      </c>
      <c r="W47" s="6" t="n">
        <v>8</v>
      </c>
      <c r="X47" s="6" t="n">
        <v>0</v>
      </c>
      <c r="Y47" s="8" t="n">
        <v>13.16</v>
      </c>
      <c r="Z47" s="9" t="inlineStr">
        <is>
          <t>Success</t>
        </is>
      </c>
      <c r="AA47" s="2" t="inlineStr">
        <is>
          <t>2026-10-08 18:05:58</t>
        </is>
      </c>
    </row>
    <row r="48" ht="21.95" customHeight="1">
      <c r="A48" s="2" t="n">
        <v>47</v>
      </c>
      <c r="B48" s="31" t="inlineStr">
        <is>
          <t>http://www.settrade.com</t>
        </is>
      </c>
      <c r="C48" s="2" t="inlineStr">
        <is>
          <t>ธนาคาร-การเงิน</t>
        </is>
      </c>
      <c r="D48" s="4">
        <f>F48/71</f>
        <v/>
      </c>
      <c r="E48" s="5">
        <f>IF(D48&gt;=0.9,"ดีเยี่ยม",IF(D48&gt;=0.7,"ดี",IF(D48&gt;=0.5,"พอใช้","ต้องปรับปรุง")))</f>
        <v/>
      </c>
      <c r="F48" s="6">
        <f>J48+N48+R48+V48</f>
        <v/>
      </c>
      <c r="G48" s="6">
        <f>K48+O48+S48+W48</f>
        <v/>
      </c>
      <c r="H48" s="6">
        <f>L48+P48+T48+X48</f>
        <v/>
      </c>
      <c r="I48" s="7">
        <f>J48/37</f>
        <v/>
      </c>
      <c r="J48" s="6" t="n">
        <v>35</v>
      </c>
      <c r="K48" s="6" t="n">
        <v>0</v>
      </c>
      <c r="L48" s="6" t="n">
        <v>2</v>
      </c>
      <c r="M48" s="7">
        <f>N48/9</f>
        <v/>
      </c>
      <c r="N48" s="6" t="n">
        <v>7</v>
      </c>
      <c r="O48" s="6" t="n">
        <v>2</v>
      </c>
      <c r="P48" s="6" t="n">
        <v>0</v>
      </c>
      <c r="Q48" s="7">
        <f>R48/11</f>
        <v/>
      </c>
      <c r="R48" s="6" t="n">
        <v>8</v>
      </c>
      <c r="S48" s="6" t="n">
        <v>2</v>
      </c>
      <c r="T48" s="6" t="n">
        <v>1</v>
      </c>
      <c r="U48" s="7">
        <f>V48/14</f>
        <v/>
      </c>
      <c r="V48" s="6" t="n">
        <v>3</v>
      </c>
      <c r="W48" s="6" t="n">
        <v>9</v>
      </c>
      <c r="X48" s="6" t="n">
        <v>2</v>
      </c>
      <c r="Y48" s="8" t="n">
        <v>76.38</v>
      </c>
      <c r="Z48" s="9" t="inlineStr">
        <is>
          <t>Success</t>
        </is>
      </c>
      <c r="AA48" s="2" t="inlineStr">
        <is>
          <t>2026-10-08 18:07:15</t>
        </is>
      </c>
    </row>
    <row r="49" ht="21.95" customHeight="1">
      <c r="A49" s="2" t="n">
        <v>48</v>
      </c>
      <c r="B49" s="31" t="inlineStr">
        <is>
          <t>http://isranews.org</t>
        </is>
      </c>
      <c r="C49" s="2" t="inlineStr">
        <is>
          <t>ข่าว-สื่อ</t>
        </is>
      </c>
      <c r="D49" s="4">
        <f>F49/71</f>
        <v/>
      </c>
      <c r="E49" s="5">
        <f>IF(D49&gt;=0.9,"ดีเยี่ยม",IF(D49&gt;=0.7,"ดี",IF(D49&gt;=0.5,"พอใช้","ต้องปรับปรุง")))</f>
        <v/>
      </c>
      <c r="F49" s="6">
        <f>J49+N49+R49+V49</f>
        <v/>
      </c>
      <c r="G49" s="6">
        <f>K49+O49+S49+W49</f>
        <v/>
      </c>
      <c r="H49" s="6">
        <f>L49+P49+T49+X49</f>
        <v/>
      </c>
      <c r="I49" s="7">
        <f>J49/37</f>
        <v/>
      </c>
      <c r="J49" s="6" t="n">
        <v>34</v>
      </c>
      <c r="K49" s="6" t="n">
        <v>3</v>
      </c>
      <c r="L49" s="6" t="n">
        <v>0</v>
      </c>
      <c r="M49" s="7">
        <f>N49/9</f>
        <v/>
      </c>
      <c r="N49" s="6" t="n">
        <v>7</v>
      </c>
      <c r="O49" s="6" t="n">
        <v>2</v>
      </c>
      <c r="P49" s="6" t="n">
        <v>0</v>
      </c>
      <c r="Q49" s="7">
        <f>R49/11</f>
        <v/>
      </c>
      <c r="R49" s="6" t="n">
        <v>8</v>
      </c>
      <c r="S49" s="6" t="n">
        <v>1</v>
      </c>
      <c r="T49" s="6" t="n">
        <v>2</v>
      </c>
      <c r="U49" s="7">
        <f>V49/14</f>
        <v/>
      </c>
      <c r="V49" s="6" t="n">
        <v>7</v>
      </c>
      <c r="W49" s="6" t="n">
        <v>7</v>
      </c>
      <c r="X49" s="6" t="n">
        <v>0</v>
      </c>
      <c r="Y49" s="8" t="n">
        <v>22.31</v>
      </c>
      <c r="Z49" s="9" t="inlineStr">
        <is>
          <t>Success</t>
        </is>
      </c>
      <c r="AA49" s="2" t="inlineStr">
        <is>
          <t>2026-10-08 18:07:37</t>
        </is>
      </c>
    </row>
    <row r="50" ht="21.95" customHeight="1">
      <c r="A50" s="2" t="n">
        <v>49</v>
      </c>
      <c r="B50" s="31" t="inlineStr">
        <is>
          <t>http://www.kruwandee.com</t>
        </is>
      </c>
      <c r="C50" s="2" t="inlineStr">
        <is>
          <t>การศึกษา</t>
        </is>
      </c>
      <c r="D50" s="10">
        <f>F50/71</f>
        <v/>
      </c>
      <c r="E50" s="11">
        <f>IF(D50&gt;=0.9,"ดีเยี่ยม",IF(D50&gt;=0.7,"ดี",IF(D50&gt;=0.5,"พอใช้","ต้องปรับปรุง")))</f>
        <v/>
      </c>
      <c r="F50" s="6">
        <f>J50+N50+R50+V50</f>
        <v/>
      </c>
      <c r="G50" s="6">
        <f>K50+O50+S50+W50</f>
        <v/>
      </c>
      <c r="H50" s="6">
        <f>L50+P50+T50+X50</f>
        <v/>
      </c>
      <c r="I50" s="7">
        <f>J50/37</f>
        <v/>
      </c>
      <c r="J50" s="6" t="n">
        <v>32</v>
      </c>
      <c r="K50" s="6" t="n">
        <v>4</v>
      </c>
      <c r="L50" s="6" t="n">
        <v>1</v>
      </c>
      <c r="M50" s="7">
        <f>N50/9</f>
        <v/>
      </c>
      <c r="N50" s="6" t="n">
        <v>7</v>
      </c>
      <c r="O50" s="6" t="n">
        <v>2</v>
      </c>
      <c r="P50" s="6" t="n">
        <v>0</v>
      </c>
      <c r="Q50" s="7">
        <f>R50/11</f>
        <v/>
      </c>
      <c r="R50" s="6" t="n">
        <v>3</v>
      </c>
      <c r="S50" s="6" t="n">
        <v>4</v>
      </c>
      <c r="T50" s="6" t="n">
        <v>4</v>
      </c>
      <c r="U50" s="7">
        <f>V50/14</f>
        <v/>
      </c>
      <c r="V50" s="6" t="n">
        <v>2</v>
      </c>
      <c r="W50" s="6" t="n">
        <v>12</v>
      </c>
      <c r="X50" s="6" t="n">
        <v>0</v>
      </c>
      <c r="Y50" s="8" t="n">
        <v>26.86</v>
      </c>
      <c r="Z50" s="9" t="inlineStr">
        <is>
          <t>Success</t>
        </is>
      </c>
      <c r="AA50" s="2" t="inlineStr">
        <is>
          <t>2026-10-08 18:08:04</t>
        </is>
      </c>
    </row>
    <row r="51" ht="21.95" customHeight="1">
      <c r="A51" s="2" t="n">
        <v>50</v>
      </c>
      <c r="B51" s="31" t="inlineStr">
        <is>
          <t>http://www.bot.or.th</t>
        </is>
      </c>
      <c r="C51" s="2" t="inlineStr">
        <is>
          <t>หน่วยงานราชการ,องค์กร</t>
        </is>
      </c>
      <c r="D51" s="10">
        <f>F51/71</f>
        <v/>
      </c>
      <c r="E51" s="11">
        <f>IF(D51&gt;=0.9,"ดีเยี่ยม",IF(D51&gt;=0.7,"ดี",IF(D51&gt;=0.5,"พอใช้","ต้องปรับปรุง")))</f>
        <v/>
      </c>
      <c r="F51" s="6">
        <f>J51+N51+R51+V51</f>
        <v/>
      </c>
      <c r="G51" s="6">
        <f>K51+O51+S51+W51</f>
        <v/>
      </c>
      <c r="H51" s="6">
        <f>L51+P51+T51+X51</f>
        <v/>
      </c>
      <c r="I51" s="7">
        <f>J51/37</f>
        <v/>
      </c>
      <c r="J51" s="6" t="n">
        <v>35</v>
      </c>
      <c r="K51" s="6" t="n">
        <v>1</v>
      </c>
      <c r="L51" s="6" t="n">
        <v>1</v>
      </c>
      <c r="M51" s="7">
        <f>N51/9</f>
        <v/>
      </c>
      <c r="N51" s="6" t="n">
        <v>6</v>
      </c>
      <c r="O51" s="6" t="n">
        <v>3</v>
      </c>
      <c r="P51" s="6" t="n">
        <v>0</v>
      </c>
      <c r="Q51" s="7">
        <f>R51/11</f>
        <v/>
      </c>
      <c r="R51" s="6" t="n">
        <v>5</v>
      </c>
      <c r="S51" s="6" t="n">
        <v>3</v>
      </c>
      <c r="T51" s="6" t="n">
        <v>3</v>
      </c>
      <c r="U51" s="7">
        <f>V51/14</f>
        <v/>
      </c>
      <c r="V51" s="6" t="n">
        <v>3</v>
      </c>
      <c r="W51" s="6" t="n">
        <v>11</v>
      </c>
      <c r="X51" s="6" t="n">
        <v>0</v>
      </c>
      <c r="Y51" s="8" t="n">
        <v>16.35</v>
      </c>
      <c r="Z51" s="9" t="inlineStr">
        <is>
          <t>Success</t>
        </is>
      </c>
      <c r="AA51" s="2" t="inlineStr">
        <is>
          <t>2026-10-08 18:08:20</t>
        </is>
      </c>
    </row>
    <row r="52" ht="21.95" customHeight="1">
      <c r="A52" s="2" t="n">
        <v>51</v>
      </c>
      <c r="B52" s="31" t="inlineStr">
        <is>
          <t>http://www.thaihometown.com</t>
        </is>
      </c>
      <c r="C52" s="2" t="inlineStr">
        <is>
          <t>อสังหาริมทรัพย์-ก่อสร้าง</t>
        </is>
      </c>
      <c r="D52" s="10">
        <f>F52/71</f>
        <v/>
      </c>
      <c r="E52" s="11">
        <f>IF(D52&gt;=0.9,"ดีเยี่ยม",IF(D52&gt;=0.7,"ดี",IF(D52&gt;=0.5,"พอใช้","ต้องปรับปรุง")))</f>
        <v/>
      </c>
      <c r="F52" s="6">
        <f>J52+N52+R52+V52</f>
        <v/>
      </c>
      <c r="G52" s="6">
        <f>K52+O52+S52+W52</f>
        <v/>
      </c>
      <c r="H52" s="6">
        <f>L52+P52+T52+X52</f>
        <v/>
      </c>
      <c r="I52" s="7">
        <f>J52/37</f>
        <v/>
      </c>
      <c r="J52" s="6" t="n">
        <v>31</v>
      </c>
      <c r="K52" s="6" t="n">
        <v>6</v>
      </c>
      <c r="L52" s="6" t="n">
        <v>0</v>
      </c>
      <c r="M52" s="7">
        <f>N52/9</f>
        <v/>
      </c>
      <c r="N52" s="6" t="n">
        <v>7</v>
      </c>
      <c r="O52" s="6" t="n">
        <v>1</v>
      </c>
      <c r="P52" s="6" t="n">
        <v>1</v>
      </c>
      <c r="Q52" s="7">
        <f>R52/11</f>
        <v/>
      </c>
      <c r="R52" s="6" t="n">
        <v>4</v>
      </c>
      <c r="S52" s="6" t="n">
        <v>4</v>
      </c>
      <c r="T52" s="6" t="n">
        <v>3</v>
      </c>
      <c r="U52" s="7">
        <f>V52/14</f>
        <v/>
      </c>
      <c r="V52" s="6" t="n">
        <v>2</v>
      </c>
      <c r="W52" s="6" t="n">
        <v>12</v>
      </c>
      <c r="X52" s="6" t="n">
        <v>0</v>
      </c>
      <c r="Y52" s="8" t="n">
        <v>18.42</v>
      </c>
      <c r="Z52" s="9" t="inlineStr">
        <is>
          <t>Success</t>
        </is>
      </c>
      <c r="AA52" s="2" t="inlineStr">
        <is>
          <t>2026-10-08 18:08:38</t>
        </is>
      </c>
    </row>
    <row r="53" ht="21.95" customHeight="1">
      <c r="A53" s="2" t="n">
        <v>52</v>
      </c>
      <c r="B53" s="31" t="inlineStr">
        <is>
          <t>http://www.prd.go.th</t>
        </is>
      </c>
      <c r="C53" s="2" t="inlineStr">
        <is>
          <t>หน่วยงานราชการ,องค์กร</t>
        </is>
      </c>
      <c r="D53" s="10">
        <f>F53/71</f>
        <v/>
      </c>
      <c r="E53" s="11">
        <f>IF(D53&gt;=0.9,"ดีเยี่ยม",IF(D53&gt;=0.7,"ดี",IF(D53&gt;=0.5,"พอใช้","ต้องปรับปรุง")))</f>
        <v/>
      </c>
      <c r="F53" s="6">
        <f>J53+N53+R53+V53</f>
        <v/>
      </c>
      <c r="G53" s="6">
        <f>K53+O53+S53+W53</f>
        <v/>
      </c>
      <c r="H53" s="6">
        <f>L53+P53+T53+X53</f>
        <v/>
      </c>
      <c r="I53" s="7">
        <f>J53/37</f>
        <v/>
      </c>
      <c r="J53" s="6" t="n">
        <v>34</v>
      </c>
      <c r="K53" s="6" t="n">
        <v>3</v>
      </c>
      <c r="L53" s="6" t="n">
        <v>0</v>
      </c>
      <c r="M53" s="7">
        <f>N53/9</f>
        <v/>
      </c>
      <c r="N53" s="6" t="n">
        <v>7</v>
      </c>
      <c r="O53" s="6" t="n">
        <v>2</v>
      </c>
      <c r="P53" s="6" t="n">
        <v>0</v>
      </c>
      <c r="Q53" s="7">
        <f>R53/11</f>
        <v/>
      </c>
      <c r="R53" s="6" t="n">
        <v>3</v>
      </c>
      <c r="S53" s="6" t="n">
        <v>4</v>
      </c>
      <c r="T53" s="6" t="n">
        <v>4</v>
      </c>
      <c r="U53" s="7">
        <f>V53/14</f>
        <v/>
      </c>
      <c r="V53" s="6" t="n">
        <v>1</v>
      </c>
      <c r="W53" s="6" t="n">
        <v>13</v>
      </c>
      <c r="X53" s="6" t="n">
        <v>0</v>
      </c>
      <c r="Y53" s="8" t="n">
        <v>75.42</v>
      </c>
      <c r="Z53" s="9" t="inlineStr">
        <is>
          <t>Success</t>
        </is>
      </c>
      <c r="AA53" s="2" t="inlineStr">
        <is>
          <t>2026-10-08 18:09:54</t>
        </is>
      </c>
    </row>
    <row r="54" ht="21.95" customHeight="1">
      <c r="A54" s="2" t="n">
        <v>53</v>
      </c>
      <c r="B54" s="31" t="inlineStr">
        <is>
          <t>http://tnnthailand.com</t>
        </is>
      </c>
      <c r="C54" s="2" t="inlineStr">
        <is>
          <t>ข่าว-สื่อ</t>
        </is>
      </c>
      <c r="D54" s="10">
        <f>F54/71</f>
        <v/>
      </c>
      <c r="E54" s="11">
        <f>IF(D54&gt;=0.9,"ดีเยี่ยม",IF(D54&gt;=0.7,"ดี",IF(D54&gt;=0.5,"พอใช้","ต้องปรับปรุง")))</f>
        <v/>
      </c>
      <c r="F54" s="6">
        <f>J54+N54+R54+V54</f>
        <v/>
      </c>
      <c r="G54" s="6">
        <f>K54+O54+S54+W54</f>
        <v/>
      </c>
      <c r="H54" s="6">
        <f>L54+P54+T54+X54</f>
        <v/>
      </c>
      <c r="I54" s="7">
        <f>J54/37</f>
        <v/>
      </c>
      <c r="J54" s="6" t="n">
        <v>30</v>
      </c>
      <c r="K54" s="6" t="n">
        <v>7</v>
      </c>
      <c r="L54" s="6" t="n">
        <v>0</v>
      </c>
      <c r="M54" s="7">
        <f>N54/9</f>
        <v/>
      </c>
      <c r="N54" s="6" t="n">
        <v>8</v>
      </c>
      <c r="O54" s="6" t="n">
        <v>1</v>
      </c>
      <c r="P54" s="6" t="n">
        <v>0</v>
      </c>
      <c r="Q54" s="7">
        <f>R54/11</f>
        <v/>
      </c>
      <c r="R54" s="6" t="n">
        <v>6</v>
      </c>
      <c r="S54" s="6" t="n">
        <v>3</v>
      </c>
      <c r="T54" s="6" t="n">
        <v>2</v>
      </c>
      <c r="U54" s="7">
        <f>V54/14</f>
        <v/>
      </c>
      <c r="V54" s="6" t="n">
        <v>2</v>
      </c>
      <c r="W54" s="6" t="n">
        <v>12</v>
      </c>
      <c r="X54" s="6" t="n">
        <v>0</v>
      </c>
      <c r="Y54" s="8" t="n">
        <v>43.94</v>
      </c>
      <c r="Z54" s="9" t="inlineStr">
        <is>
          <t>Success</t>
        </is>
      </c>
      <c r="AA54" s="2" t="inlineStr">
        <is>
          <t>2026-10-08 18:10:38</t>
        </is>
      </c>
    </row>
    <row r="55" ht="21.95" customHeight="1">
      <c r="A55" s="2" t="n">
        <v>54</v>
      </c>
      <c r="B55" s="31" t="inlineStr">
        <is>
          <t>http://www.siamrath.co.th</t>
        </is>
      </c>
      <c r="C55" s="2" t="inlineStr">
        <is>
          <t>ข่าว-สื่อ</t>
        </is>
      </c>
      <c r="D55" s="4">
        <f>F55/71</f>
        <v/>
      </c>
      <c r="E55" s="5">
        <f>IF(D55&gt;=0.9,"ดีเยี่ยม",IF(D55&gt;=0.7,"ดี",IF(D55&gt;=0.5,"พอใช้","ต้องปรับปรุง")))</f>
        <v/>
      </c>
      <c r="F55" s="6">
        <f>J55+N55+R55+V55</f>
        <v/>
      </c>
      <c r="G55" s="6">
        <f>K55+O55+S55+W55</f>
        <v/>
      </c>
      <c r="H55" s="6">
        <f>L55+P55+T55+X55</f>
        <v/>
      </c>
      <c r="I55" s="7">
        <f>J55/37</f>
        <v/>
      </c>
      <c r="J55" s="6" t="n">
        <v>35</v>
      </c>
      <c r="K55" s="6" t="n">
        <v>2</v>
      </c>
      <c r="L55" s="6" t="n">
        <v>0</v>
      </c>
      <c r="M55" s="7">
        <f>N55/9</f>
        <v/>
      </c>
      <c r="N55" s="6" t="n">
        <v>8</v>
      </c>
      <c r="O55" s="6" t="n">
        <v>0</v>
      </c>
      <c r="P55" s="6" t="n">
        <v>1</v>
      </c>
      <c r="Q55" s="7">
        <f>R55/11</f>
        <v/>
      </c>
      <c r="R55" s="6" t="n">
        <v>6</v>
      </c>
      <c r="S55" s="6" t="n">
        <v>3</v>
      </c>
      <c r="T55" s="6" t="n">
        <v>2</v>
      </c>
      <c r="U55" s="7">
        <f>V55/14</f>
        <v/>
      </c>
      <c r="V55" s="6" t="n">
        <v>2</v>
      </c>
      <c r="W55" s="6" t="n">
        <v>11</v>
      </c>
      <c r="X55" s="6" t="n">
        <v>1</v>
      </c>
      <c r="Y55" s="8" t="n">
        <v>25.03</v>
      </c>
      <c r="Z55" s="9" t="inlineStr">
        <is>
          <t>Success</t>
        </is>
      </c>
      <c r="AA55" s="2" t="inlineStr">
        <is>
          <t>2026-10-08 18:11:03</t>
        </is>
      </c>
    </row>
    <row r="56" ht="21.95" customHeight="1">
      <c r="A56" s="2" t="n">
        <v>55</v>
      </c>
      <c r="B56" s="31" t="inlineStr">
        <is>
          <t>http://www.hfocus.org</t>
        </is>
      </c>
      <c r="C56" s="2" t="inlineStr">
        <is>
          <t>ข่าว-สื่อ</t>
        </is>
      </c>
      <c r="D56" s="4">
        <f>F56/71</f>
        <v/>
      </c>
      <c r="E56" s="5">
        <f>IF(D56&gt;=0.9,"ดีเยี่ยม",IF(D56&gt;=0.7,"ดี",IF(D56&gt;=0.5,"พอใช้","ต้องปรับปรุง")))</f>
        <v/>
      </c>
      <c r="F56" s="6">
        <f>J56+N56+R56+V56</f>
        <v/>
      </c>
      <c r="G56" s="6">
        <f>K56+O56+S56+W56</f>
        <v/>
      </c>
      <c r="H56" s="6">
        <f>L56+P56+T56+X56</f>
        <v/>
      </c>
      <c r="I56" s="7">
        <f>J56/37</f>
        <v/>
      </c>
      <c r="J56" s="6" t="n">
        <v>34</v>
      </c>
      <c r="K56" s="6" t="n">
        <v>3</v>
      </c>
      <c r="L56" s="6" t="n">
        <v>0</v>
      </c>
      <c r="M56" s="7">
        <f>N56/9</f>
        <v/>
      </c>
      <c r="N56" s="6" t="n">
        <v>8</v>
      </c>
      <c r="O56" s="6" t="n">
        <v>1</v>
      </c>
      <c r="P56" s="6" t="n">
        <v>0</v>
      </c>
      <c r="Q56" s="7">
        <f>R56/11</f>
        <v/>
      </c>
      <c r="R56" s="6" t="n">
        <v>6</v>
      </c>
      <c r="S56" s="6" t="n">
        <v>1</v>
      </c>
      <c r="T56" s="6" t="n">
        <v>4</v>
      </c>
      <c r="U56" s="7">
        <f>V56/14</f>
        <v/>
      </c>
      <c r="V56" s="6" t="n">
        <v>5</v>
      </c>
      <c r="W56" s="6" t="n">
        <v>8</v>
      </c>
      <c r="X56" s="6" t="n">
        <v>1</v>
      </c>
      <c r="Y56" s="8" t="n">
        <v>17.98</v>
      </c>
      <c r="Z56" s="9" t="inlineStr">
        <is>
          <t>Success</t>
        </is>
      </c>
      <c r="AA56" s="2" t="inlineStr">
        <is>
          <t>2026-10-08 18:11:21</t>
        </is>
      </c>
    </row>
    <row r="57" ht="21.95" customHeight="1">
      <c r="A57" s="2" t="n">
        <v>56</v>
      </c>
      <c r="B57" s="31" t="inlineStr">
        <is>
          <t>http://www.nationtv.tv</t>
        </is>
      </c>
      <c r="C57" s="2" t="inlineStr">
        <is>
          <t>ข่าว-สื่อ</t>
        </is>
      </c>
      <c r="D57" s="4">
        <f>F57/71</f>
        <v/>
      </c>
      <c r="E57" s="5">
        <f>IF(D57&gt;=0.9,"ดีเยี่ยม",IF(D57&gt;=0.7,"ดี",IF(D57&gt;=0.5,"พอใช้","ต้องปรับปรุง")))</f>
        <v/>
      </c>
      <c r="F57" s="6">
        <f>J57+N57+R57+V57</f>
        <v/>
      </c>
      <c r="G57" s="6">
        <f>K57+O57+S57+W57</f>
        <v/>
      </c>
      <c r="H57" s="6">
        <f>L57+P57+T57+X57</f>
        <v/>
      </c>
      <c r="I57" s="7">
        <f>J57/37</f>
        <v/>
      </c>
      <c r="J57" s="6" t="n">
        <v>35</v>
      </c>
      <c r="K57" s="6" t="n">
        <v>1</v>
      </c>
      <c r="L57" s="6" t="n">
        <v>1</v>
      </c>
      <c r="M57" s="7">
        <f>N57/9</f>
        <v/>
      </c>
      <c r="N57" s="6" t="n">
        <v>6</v>
      </c>
      <c r="O57" s="6" t="n">
        <v>3</v>
      </c>
      <c r="P57" s="6" t="n">
        <v>0</v>
      </c>
      <c r="Q57" s="7">
        <f>R57/11</f>
        <v/>
      </c>
      <c r="R57" s="6" t="n">
        <v>6</v>
      </c>
      <c r="S57" s="6" t="n">
        <v>1</v>
      </c>
      <c r="T57" s="6" t="n">
        <v>4</v>
      </c>
      <c r="U57" s="7">
        <f>V57/14</f>
        <v/>
      </c>
      <c r="V57" s="6" t="n">
        <v>4</v>
      </c>
      <c r="W57" s="6" t="n">
        <v>8</v>
      </c>
      <c r="X57" s="6" t="n">
        <v>2</v>
      </c>
      <c r="Y57" s="8" t="n">
        <v>21.75</v>
      </c>
      <c r="Z57" s="9" t="inlineStr">
        <is>
          <t>Success</t>
        </is>
      </c>
      <c r="AA57" s="2" t="inlineStr">
        <is>
          <t>2026-10-08 18:11:43</t>
        </is>
      </c>
    </row>
    <row r="58" ht="21.95" customHeight="1">
      <c r="A58" s="2" t="n">
        <v>57</v>
      </c>
      <c r="B58" s="31" t="inlineStr">
        <is>
          <t>http://www.thaimobilecenter.com</t>
        </is>
      </c>
      <c r="C58" s="2" t="inlineStr">
        <is>
          <t>มือถือ-พีดีเอ</t>
        </is>
      </c>
      <c r="D58" s="10">
        <f>F58/71</f>
        <v/>
      </c>
      <c r="E58" s="11">
        <f>IF(D58&gt;=0.9,"ดีเยี่ยม",IF(D58&gt;=0.7,"ดี",IF(D58&gt;=0.5,"พอใช้","ต้องปรับปรุง")))</f>
        <v/>
      </c>
      <c r="F58" s="6">
        <f>J58+N58+R58+V58</f>
        <v/>
      </c>
      <c r="G58" s="6">
        <f>K58+O58+S58+W58</f>
        <v/>
      </c>
      <c r="H58" s="6">
        <f>L58+P58+T58+X58</f>
        <v/>
      </c>
      <c r="I58" s="7">
        <f>J58/37</f>
        <v/>
      </c>
      <c r="J58" s="6" t="n">
        <v>34</v>
      </c>
      <c r="K58" s="6" t="n">
        <v>3</v>
      </c>
      <c r="L58" s="6" t="n">
        <v>0</v>
      </c>
      <c r="M58" s="7">
        <f>N58/9</f>
        <v/>
      </c>
      <c r="N58" s="6" t="n">
        <v>7</v>
      </c>
      <c r="O58" s="6" t="n">
        <v>1</v>
      </c>
      <c r="P58" s="6" t="n">
        <v>1</v>
      </c>
      <c r="Q58" s="7">
        <f>R58/11</f>
        <v/>
      </c>
      <c r="R58" s="6" t="n">
        <v>3</v>
      </c>
      <c r="S58" s="6" t="n">
        <v>4</v>
      </c>
      <c r="T58" s="6" t="n">
        <v>4</v>
      </c>
      <c r="U58" s="7">
        <f>V58/14</f>
        <v/>
      </c>
      <c r="V58" s="6" t="n">
        <v>1</v>
      </c>
      <c r="W58" s="6" t="n">
        <v>12</v>
      </c>
      <c r="X58" s="6" t="n">
        <v>1</v>
      </c>
      <c r="Y58" s="8" t="n">
        <v>16.08</v>
      </c>
      <c r="Z58" s="9" t="inlineStr">
        <is>
          <t>Success</t>
        </is>
      </c>
      <c r="AA58" s="2" t="inlineStr">
        <is>
          <t>2026-10-08 18:11:59</t>
        </is>
      </c>
    </row>
    <row r="59" ht="21.95" customHeight="1">
      <c r="A59" s="2" t="n">
        <v>58</v>
      </c>
      <c r="B59" s="31" t="inlineStr">
        <is>
          <t>http://www.kalyanamitra.org</t>
        </is>
      </c>
      <c r="C59" s="2" t="inlineStr">
        <is>
          <t>ศิลปะ-วัฒนธรรม</t>
        </is>
      </c>
      <c r="D59" s="10">
        <f>F59/71</f>
        <v/>
      </c>
      <c r="E59" s="11">
        <f>IF(D59&gt;=0.9,"ดีเยี่ยม",IF(D59&gt;=0.7,"ดี",IF(D59&gt;=0.5,"พอใช้","ต้องปรับปรุง")))</f>
        <v/>
      </c>
      <c r="F59" s="6">
        <f>J59+N59+R59+V59</f>
        <v/>
      </c>
      <c r="G59" s="6">
        <f>K59+O59+S59+W59</f>
        <v/>
      </c>
      <c r="H59" s="6">
        <f>L59+P59+T59+X59</f>
        <v/>
      </c>
      <c r="I59" s="7">
        <f>J59/37</f>
        <v/>
      </c>
      <c r="J59" s="6" t="n">
        <v>35</v>
      </c>
      <c r="K59" s="6" t="n">
        <v>2</v>
      </c>
      <c r="L59" s="6" t="n">
        <v>0</v>
      </c>
      <c r="M59" s="7">
        <f>N59/9</f>
        <v/>
      </c>
      <c r="N59" s="6" t="n">
        <v>7</v>
      </c>
      <c r="O59" s="6" t="n">
        <v>2</v>
      </c>
      <c r="P59" s="6" t="n">
        <v>0</v>
      </c>
      <c r="Q59" s="7">
        <f>R59/11</f>
        <v/>
      </c>
      <c r="R59" s="6" t="n">
        <v>5</v>
      </c>
      <c r="S59" s="6" t="n">
        <v>3</v>
      </c>
      <c r="T59" s="6" t="n">
        <v>3</v>
      </c>
      <c r="U59" s="7">
        <f>V59/14</f>
        <v/>
      </c>
      <c r="V59" s="6" t="n">
        <v>2</v>
      </c>
      <c r="W59" s="6" t="n">
        <v>12</v>
      </c>
      <c r="X59" s="6" t="n">
        <v>0</v>
      </c>
      <c r="Y59" s="8" t="n">
        <v>15.29</v>
      </c>
      <c r="Z59" s="9" t="inlineStr">
        <is>
          <t>Success</t>
        </is>
      </c>
      <c r="AA59" s="2" t="inlineStr">
        <is>
          <t>2026-10-08 18:12:14</t>
        </is>
      </c>
    </row>
    <row r="60" ht="21.95" customHeight="1">
      <c r="A60" s="2" t="n">
        <v>59</v>
      </c>
      <c r="B60" s="31" t="inlineStr">
        <is>
          <t>http://www.silpa-mag.com</t>
        </is>
      </c>
      <c r="C60" s="2" t="inlineStr">
        <is>
          <t>ข่าว-สื่อ</t>
        </is>
      </c>
      <c r="D60" s="4">
        <f>F60/71</f>
        <v/>
      </c>
      <c r="E60" s="5">
        <f>IF(D60&gt;=0.9,"ดีเยี่ยม",IF(D60&gt;=0.7,"ดี",IF(D60&gt;=0.5,"พอใช้","ต้องปรับปรุง")))</f>
        <v/>
      </c>
      <c r="F60" s="6">
        <f>J60+N60+R60+V60</f>
        <v/>
      </c>
      <c r="G60" s="6">
        <f>K60+O60+S60+W60</f>
        <v/>
      </c>
      <c r="H60" s="6">
        <f>L60+P60+T60+X60</f>
        <v/>
      </c>
      <c r="I60" s="7">
        <f>J60/37</f>
        <v/>
      </c>
      <c r="J60" s="6" t="n">
        <v>37</v>
      </c>
      <c r="K60" s="6" t="n">
        <v>0</v>
      </c>
      <c r="L60" s="6" t="n">
        <v>0</v>
      </c>
      <c r="M60" s="7">
        <f>N60/9</f>
        <v/>
      </c>
      <c r="N60" s="6" t="n">
        <v>8</v>
      </c>
      <c r="O60" s="6" t="n">
        <v>1</v>
      </c>
      <c r="P60" s="6" t="n">
        <v>0</v>
      </c>
      <c r="Q60" s="7">
        <f>R60/11</f>
        <v/>
      </c>
      <c r="R60" s="6" t="n">
        <v>8</v>
      </c>
      <c r="S60" s="6" t="n">
        <v>1</v>
      </c>
      <c r="T60" s="6" t="n">
        <v>2</v>
      </c>
      <c r="U60" s="7">
        <f>V60/14</f>
        <v/>
      </c>
      <c r="V60" s="6" t="n">
        <v>5</v>
      </c>
      <c r="W60" s="6" t="n">
        <v>8</v>
      </c>
      <c r="X60" s="6" t="n">
        <v>1</v>
      </c>
      <c r="Y60" s="8" t="n">
        <v>24.52</v>
      </c>
      <c r="Z60" s="9" t="inlineStr">
        <is>
          <t>Success</t>
        </is>
      </c>
      <c r="AA60" s="2" t="inlineStr">
        <is>
          <t>2026-10-08 18:12:38</t>
        </is>
      </c>
    </row>
    <row r="61" ht="21.95" customHeight="1">
      <c r="A61" s="2" t="n">
        <v>60</v>
      </c>
      <c r="B61" s="31" t="inlineStr">
        <is>
          <t>http://car250.com</t>
        </is>
      </c>
      <c r="C61" s="2" t="inlineStr">
        <is>
          <t>ยานยนต์</t>
        </is>
      </c>
      <c r="D61" s="10">
        <f>F61/71</f>
        <v/>
      </c>
      <c r="E61" s="11">
        <f>IF(D61&gt;=0.9,"ดีเยี่ยม",IF(D61&gt;=0.7,"ดี",IF(D61&gt;=0.5,"พอใช้","ต้องปรับปรุง")))</f>
        <v/>
      </c>
      <c r="F61" s="6">
        <f>J61+N61+R61+V61</f>
        <v/>
      </c>
      <c r="G61" s="6">
        <f>K61+O61+S61+W61</f>
        <v/>
      </c>
      <c r="H61" s="6">
        <f>L61+P61+T61+X61</f>
        <v/>
      </c>
      <c r="I61" s="7">
        <f>J61/37</f>
        <v/>
      </c>
      <c r="J61" s="6" t="n">
        <v>33</v>
      </c>
      <c r="K61" s="6" t="n">
        <v>4</v>
      </c>
      <c r="L61" s="6" t="n">
        <v>0</v>
      </c>
      <c r="M61" s="7">
        <f>N61/9</f>
        <v/>
      </c>
      <c r="N61" s="6" t="n">
        <v>6</v>
      </c>
      <c r="O61" s="6" t="n">
        <v>3</v>
      </c>
      <c r="P61" s="6" t="n">
        <v>0</v>
      </c>
      <c r="Q61" s="7">
        <f>R61/11</f>
        <v/>
      </c>
      <c r="R61" s="6" t="n">
        <v>4</v>
      </c>
      <c r="S61" s="6" t="n">
        <v>3</v>
      </c>
      <c r="T61" s="6" t="n">
        <v>4</v>
      </c>
      <c r="U61" s="7">
        <f>V61/14</f>
        <v/>
      </c>
      <c r="V61" s="6" t="n">
        <v>2</v>
      </c>
      <c r="W61" s="6" t="n">
        <v>12</v>
      </c>
      <c r="X61" s="6" t="n">
        <v>0</v>
      </c>
      <c r="Y61" s="8" t="n">
        <v>31.78</v>
      </c>
      <c r="Z61" s="9" t="inlineStr">
        <is>
          <t>Success</t>
        </is>
      </c>
      <c r="AA61" s="2" t="inlineStr">
        <is>
          <t>2026-10-08 18:13:10</t>
        </is>
      </c>
    </row>
    <row r="62" ht="21.95" customHeight="1">
      <c r="A62" s="2" t="n">
        <v>61</v>
      </c>
      <c r="B62" s="31" t="inlineStr">
        <is>
          <t>http://www.mushroomtravel.com</t>
        </is>
      </c>
      <c r="C62" s="2" t="inlineStr">
        <is>
          <t>ท่องเที่ยว</t>
        </is>
      </c>
      <c r="D62" s="10">
        <f>F62/71</f>
        <v/>
      </c>
      <c r="E62" s="11">
        <f>IF(D62&gt;=0.9,"ดีเยี่ยม",IF(D62&gt;=0.7,"ดี",IF(D62&gt;=0.5,"พอใช้","ต้องปรับปรุง")))</f>
        <v/>
      </c>
      <c r="F62" s="6">
        <f>J62+N62+R62+V62</f>
        <v/>
      </c>
      <c r="G62" s="6">
        <f>K62+O62+S62+W62</f>
        <v/>
      </c>
      <c r="H62" s="6">
        <f>L62+P62+T62+X62</f>
        <v/>
      </c>
      <c r="I62" s="7">
        <f>J62/37</f>
        <v/>
      </c>
      <c r="J62" s="6" t="n">
        <v>32</v>
      </c>
      <c r="K62" s="6" t="n">
        <v>5</v>
      </c>
      <c r="L62" s="6" t="n">
        <v>0</v>
      </c>
      <c r="M62" s="7">
        <f>N62/9</f>
        <v/>
      </c>
      <c r="N62" s="6" t="n">
        <v>7</v>
      </c>
      <c r="O62" s="6" t="n">
        <v>2</v>
      </c>
      <c r="P62" s="6" t="n">
        <v>0</v>
      </c>
      <c r="Q62" s="7">
        <f>R62/11</f>
        <v/>
      </c>
      <c r="R62" s="6" t="n">
        <v>3</v>
      </c>
      <c r="S62" s="6" t="n">
        <v>4</v>
      </c>
      <c r="T62" s="6" t="n">
        <v>4</v>
      </c>
      <c r="U62" s="7">
        <f>V62/14</f>
        <v/>
      </c>
      <c r="V62" s="6" t="n">
        <v>2</v>
      </c>
      <c r="W62" s="6" t="n">
        <v>12</v>
      </c>
      <c r="X62" s="6" t="n">
        <v>0</v>
      </c>
      <c r="Y62" s="8" t="n">
        <v>21.75</v>
      </c>
      <c r="Z62" s="9" t="inlineStr">
        <is>
          <t>Success</t>
        </is>
      </c>
      <c r="AA62" s="2" t="inlineStr">
        <is>
          <t>2026-10-08 18:13:32</t>
        </is>
      </c>
    </row>
    <row r="63" ht="21.95" customHeight="1">
      <c r="A63" s="2" t="n">
        <v>62</v>
      </c>
      <c r="B63" s="31" t="inlineStr">
        <is>
          <t>http://www.honekrasae.com</t>
        </is>
      </c>
      <c r="C63" s="2" t="inlineStr">
        <is>
          <t>ข่าว-สื่อ</t>
        </is>
      </c>
      <c r="D63" s="4">
        <f>F63/71</f>
        <v/>
      </c>
      <c r="E63" s="5">
        <f>IF(D63&gt;=0.9,"ดีเยี่ยม",IF(D63&gt;=0.7,"ดี",IF(D63&gt;=0.5,"พอใช้","ต้องปรับปรุง")))</f>
        <v/>
      </c>
      <c r="F63" s="6">
        <f>J63+N63+R63+V63</f>
        <v/>
      </c>
      <c r="G63" s="6">
        <f>K63+O63+S63+W63</f>
        <v/>
      </c>
      <c r="H63" s="6">
        <f>L63+P63+T63+X63</f>
        <v/>
      </c>
      <c r="I63" s="7">
        <f>J63/37</f>
        <v/>
      </c>
      <c r="J63" s="6" t="n">
        <v>35</v>
      </c>
      <c r="K63" s="6" t="n">
        <v>2</v>
      </c>
      <c r="L63" s="6" t="n">
        <v>0</v>
      </c>
      <c r="M63" s="7">
        <f>N63/9</f>
        <v/>
      </c>
      <c r="N63" s="6" t="n">
        <v>7</v>
      </c>
      <c r="O63" s="6" t="n">
        <v>2</v>
      </c>
      <c r="P63" s="6" t="n">
        <v>0</v>
      </c>
      <c r="Q63" s="7">
        <f>R63/11</f>
        <v/>
      </c>
      <c r="R63" s="6" t="n">
        <v>5</v>
      </c>
      <c r="S63" s="6" t="n">
        <v>3</v>
      </c>
      <c r="T63" s="6" t="n">
        <v>3</v>
      </c>
      <c r="U63" s="7">
        <f>V63/14</f>
        <v/>
      </c>
      <c r="V63" s="6" t="n">
        <v>3</v>
      </c>
      <c r="W63" s="6" t="n">
        <v>11</v>
      </c>
      <c r="X63" s="6" t="n">
        <v>0</v>
      </c>
      <c r="Y63" s="8" t="n">
        <v>25.69</v>
      </c>
      <c r="Z63" s="9" t="inlineStr">
        <is>
          <t>Success</t>
        </is>
      </c>
      <c r="AA63" s="2" t="inlineStr">
        <is>
          <t>2026-10-08 18:13:58</t>
        </is>
      </c>
    </row>
    <row r="64" ht="21.95" customHeight="1">
      <c r="A64" s="2" t="n">
        <v>63</v>
      </c>
      <c r="B64" s="31" t="inlineStr">
        <is>
          <t>http://www.guitarthai.com</t>
        </is>
      </c>
      <c r="C64" s="2" t="inlineStr">
        <is>
          <t>บันเทิง</t>
        </is>
      </c>
      <c r="D64" s="10">
        <f>F64/71</f>
        <v/>
      </c>
      <c r="E64" s="11">
        <f>IF(D64&gt;=0.9,"ดีเยี่ยม",IF(D64&gt;=0.7,"ดี",IF(D64&gt;=0.5,"พอใช้","ต้องปรับปรุง")))</f>
        <v/>
      </c>
      <c r="F64" s="6">
        <f>J64+N64+R64+V64</f>
        <v/>
      </c>
      <c r="G64" s="6">
        <f>K64+O64+S64+W64</f>
        <v/>
      </c>
      <c r="H64" s="6">
        <f>L64+P64+T64+X64</f>
        <v/>
      </c>
      <c r="I64" s="7">
        <f>J64/37</f>
        <v/>
      </c>
      <c r="J64" s="6" t="n">
        <v>32</v>
      </c>
      <c r="K64" s="6" t="n">
        <v>5</v>
      </c>
      <c r="L64" s="6" t="n">
        <v>0</v>
      </c>
      <c r="M64" s="7">
        <f>N64/9</f>
        <v/>
      </c>
      <c r="N64" s="6" t="n">
        <v>9</v>
      </c>
      <c r="O64" s="6" t="n">
        <v>0</v>
      </c>
      <c r="P64" s="6" t="n">
        <v>0</v>
      </c>
      <c r="Q64" s="7">
        <f>R64/11</f>
        <v/>
      </c>
      <c r="R64" s="6" t="n">
        <v>4</v>
      </c>
      <c r="S64" s="6" t="n">
        <v>4</v>
      </c>
      <c r="T64" s="6" t="n">
        <v>3</v>
      </c>
      <c r="U64" s="7">
        <f>V64/14</f>
        <v/>
      </c>
      <c r="V64" s="6" t="n">
        <v>1</v>
      </c>
      <c r="W64" s="6" t="n">
        <v>12</v>
      </c>
      <c r="X64" s="6" t="n">
        <v>1</v>
      </c>
      <c r="Y64" s="8" t="n">
        <v>21.47</v>
      </c>
      <c r="Z64" s="9" t="inlineStr">
        <is>
          <t>Success</t>
        </is>
      </c>
      <c r="AA64" s="2" t="inlineStr">
        <is>
          <t>2026-10-08 18:14:19</t>
        </is>
      </c>
    </row>
    <row r="65" ht="21.95" customHeight="1">
      <c r="A65" s="2" t="n">
        <v>64</v>
      </c>
      <c r="B65" s="31" t="inlineStr">
        <is>
          <t>http://www.mcot.net</t>
        </is>
      </c>
      <c r="C65" s="2" t="inlineStr">
        <is>
          <t>ข่าว-สื่อ</t>
        </is>
      </c>
      <c r="D65" s="4">
        <f>F65/71</f>
        <v/>
      </c>
      <c r="E65" s="5">
        <f>IF(D65&gt;=0.9,"ดีเยี่ยม",IF(D65&gt;=0.7,"ดี",IF(D65&gt;=0.5,"พอใช้","ต้องปรับปรุง")))</f>
        <v/>
      </c>
      <c r="F65" s="6">
        <f>J65+N65+R65+V65</f>
        <v/>
      </c>
      <c r="G65" s="6">
        <f>K65+O65+S65+W65</f>
        <v/>
      </c>
      <c r="H65" s="6">
        <f>L65+P65+T65+X65</f>
        <v/>
      </c>
      <c r="I65" s="7">
        <f>J65/37</f>
        <v/>
      </c>
      <c r="J65" s="6" t="n">
        <v>36</v>
      </c>
      <c r="K65" s="6" t="n">
        <v>1</v>
      </c>
      <c r="L65" s="6" t="n">
        <v>0</v>
      </c>
      <c r="M65" s="7">
        <f>N65/9</f>
        <v/>
      </c>
      <c r="N65" s="6" t="n">
        <v>7</v>
      </c>
      <c r="O65" s="6" t="n">
        <v>2</v>
      </c>
      <c r="P65" s="6" t="n">
        <v>0</v>
      </c>
      <c r="Q65" s="7">
        <f>R65/11</f>
        <v/>
      </c>
      <c r="R65" s="6" t="n">
        <v>9</v>
      </c>
      <c r="S65" s="6" t="n">
        <v>1</v>
      </c>
      <c r="T65" s="6" t="n">
        <v>1</v>
      </c>
      <c r="U65" s="7">
        <f>V65/14</f>
        <v/>
      </c>
      <c r="V65" s="6" t="n">
        <v>5</v>
      </c>
      <c r="W65" s="6" t="n">
        <v>8</v>
      </c>
      <c r="X65" s="6" t="n">
        <v>1</v>
      </c>
      <c r="Y65" s="8" t="n">
        <v>13.52</v>
      </c>
      <c r="Z65" s="9" t="inlineStr">
        <is>
          <t>Success</t>
        </is>
      </c>
      <c r="AA65" s="2" t="inlineStr">
        <is>
          <t>2026-10-08 18:14:33</t>
        </is>
      </c>
    </row>
    <row r="66" ht="21.95" customHeight="1">
      <c r="A66" s="2" t="n">
        <v>65</v>
      </c>
      <c r="B66" s="31" t="inlineStr">
        <is>
          <t>http://www.bemplc.co.th</t>
        </is>
      </c>
      <c r="C66" s="2" t="inlineStr">
        <is>
          <t>ธุรกิจ</t>
        </is>
      </c>
      <c r="D66" s="10">
        <f>F66/71</f>
        <v/>
      </c>
      <c r="E66" s="11">
        <f>IF(D66&gt;=0.9,"ดีเยี่ยม",IF(D66&gt;=0.7,"ดี",IF(D66&gt;=0.5,"พอใช้","ต้องปรับปรุง")))</f>
        <v/>
      </c>
      <c r="F66" s="6">
        <f>J66+N66+R66+V66</f>
        <v/>
      </c>
      <c r="G66" s="6">
        <f>K66+O66+S66+W66</f>
        <v/>
      </c>
      <c r="H66" s="6">
        <f>L66+P66+T66+X66</f>
        <v/>
      </c>
      <c r="I66" s="7">
        <f>J66/37</f>
        <v/>
      </c>
      <c r="J66" s="6" t="n">
        <v>31</v>
      </c>
      <c r="K66" s="6" t="n">
        <v>6</v>
      </c>
      <c r="L66" s="6" t="n">
        <v>0</v>
      </c>
      <c r="M66" s="7">
        <f>N66/9</f>
        <v/>
      </c>
      <c r="N66" s="6" t="n">
        <v>7</v>
      </c>
      <c r="O66" s="6" t="n">
        <v>2</v>
      </c>
      <c r="P66" s="6" t="n">
        <v>0</v>
      </c>
      <c r="Q66" s="7">
        <f>R66/11</f>
        <v/>
      </c>
      <c r="R66" s="6" t="n">
        <v>3</v>
      </c>
      <c r="S66" s="6" t="n">
        <v>4</v>
      </c>
      <c r="T66" s="6" t="n">
        <v>4</v>
      </c>
      <c r="U66" s="7">
        <f>V66/14</f>
        <v/>
      </c>
      <c r="V66" s="6" t="n">
        <v>1</v>
      </c>
      <c r="W66" s="6" t="n">
        <v>12</v>
      </c>
      <c r="X66" s="6" t="n">
        <v>1</v>
      </c>
      <c r="Y66" s="8" t="n">
        <v>20.2</v>
      </c>
      <c r="Z66" s="9" t="inlineStr">
        <is>
          <t>Success</t>
        </is>
      </c>
      <c r="AA66" s="2" t="inlineStr">
        <is>
          <t>2026-10-08 18:14:53</t>
        </is>
      </c>
    </row>
    <row r="67" ht="21.95" customHeight="1">
      <c r="A67" s="2" t="n">
        <v>66</v>
      </c>
      <c r="B67" s="31" t="inlineStr">
        <is>
          <t>http://www.ghbank.co.th</t>
        </is>
      </c>
      <c r="C67" s="2" t="inlineStr">
        <is>
          <t>ธนาคาร-การเงิน</t>
        </is>
      </c>
      <c r="D67" s="4">
        <f>F67/71</f>
        <v/>
      </c>
      <c r="E67" s="5">
        <f>IF(D67&gt;=0.9,"ดีเยี่ยม",IF(D67&gt;=0.7,"ดี",IF(D67&gt;=0.5,"พอใช้","ต้องปรับปรุง")))</f>
        <v/>
      </c>
      <c r="F67" s="6">
        <f>J67+N67+R67+V67</f>
        <v/>
      </c>
      <c r="G67" s="6">
        <f>K67+O67+S67+W67</f>
        <v/>
      </c>
      <c r="H67" s="6">
        <f>L67+P67+T67+X67</f>
        <v/>
      </c>
      <c r="I67" s="7">
        <f>J67/37</f>
        <v/>
      </c>
      <c r="J67" s="6" t="n">
        <v>36</v>
      </c>
      <c r="K67" s="6" t="n">
        <v>1</v>
      </c>
      <c r="L67" s="6" t="n">
        <v>0</v>
      </c>
      <c r="M67" s="7">
        <f>N67/9</f>
        <v/>
      </c>
      <c r="N67" s="6" t="n">
        <v>6</v>
      </c>
      <c r="O67" s="6" t="n">
        <v>3</v>
      </c>
      <c r="P67" s="6" t="n">
        <v>0</v>
      </c>
      <c r="Q67" s="7">
        <f>R67/11</f>
        <v/>
      </c>
      <c r="R67" s="6" t="n">
        <v>7</v>
      </c>
      <c r="S67" s="6" t="n">
        <v>2</v>
      </c>
      <c r="T67" s="6" t="n">
        <v>2</v>
      </c>
      <c r="U67" s="7">
        <f>V67/14</f>
        <v/>
      </c>
      <c r="V67" s="6" t="n">
        <v>6</v>
      </c>
      <c r="W67" s="6" t="n">
        <v>6</v>
      </c>
      <c r="X67" s="6" t="n">
        <v>2</v>
      </c>
      <c r="Y67" s="8" t="n">
        <v>21</v>
      </c>
      <c r="Z67" s="9" t="inlineStr">
        <is>
          <t>Success</t>
        </is>
      </c>
      <c r="AA67" s="2" t="inlineStr">
        <is>
          <t>2026-10-08 18:15:14</t>
        </is>
      </c>
    </row>
    <row r="68" ht="21.95" customHeight="1">
      <c r="A68" s="2" t="n">
        <v>67</v>
      </c>
      <c r="B68" s="31" t="inlineStr">
        <is>
          <t>http://workpointtoday.com</t>
        </is>
      </c>
      <c r="C68" s="2" t="inlineStr">
        <is>
          <t>ข่าว-สื่อ</t>
        </is>
      </c>
      <c r="D68" s="4">
        <f>F68/71</f>
        <v/>
      </c>
      <c r="E68" s="5">
        <f>IF(D68&gt;=0.9,"ดีเยี่ยม",IF(D68&gt;=0.7,"ดี",IF(D68&gt;=0.5,"พอใช้","ต้องปรับปรุง")))</f>
        <v/>
      </c>
      <c r="F68" s="6">
        <f>J68+N68+R68+V68</f>
        <v/>
      </c>
      <c r="G68" s="6">
        <f>K68+O68+S68+W68</f>
        <v/>
      </c>
      <c r="H68" s="6">
        <f>L68+P68+T68+X68</f>
        <v/>
      </c>
      <c r="I68" s="7">
        <f>J68/37</f>
        <v/>
      </c>
      <c r="J68" s="6" t="n">
        <v>35</v>
      </c>
      <c r="K68" s="6" t="n">
        <v>1</v>
      </c>
      <c r="L68" s="6" t="n">
        <v>1</v>
      </c>
      <c r="M68" s="7">
        <f>N68/9</f>
        <v/>
      </c>
      <c r="N68" s="6" t="n">
        <v>7</v>
      </c>
      <c r="O68" s="6" t="n">
        <v>2</v>
      </c>
      <c r="P68" s="6" t="n">
        <v>0</v>
      </c>
      <c r="Q68" s="7">
        <f>R68/11</f>
        <v/>
      </c>
      <c r="R68" s="6" t="n">
        <v>5</v>
      </c>
      <c r="S68" s="6" t="n">
        <v>2</v>
      </c>
      <c r="T68" s="6" t="n">
        <v>4</v>
      </c>
      <c r="U68" s="7">
        <f>V68/14</f>
        <v/>
      </c>
      <c r="V68" s="6" t="n">
        <v>3</v>
      </c>
      <c r="W68" s="6" t="n">
        <v>11</v>
      </c>
      <c r="X68" s="6" t="n">
        <v>0</v>
      </c>
      <c r="Y68" s="8" t="n">
        <v>25.78</v>
      </c>
      <c r="Z68" s="9" t="inlineStr">
        <is>
          <t>Success</t>
        </is>
      </c>
      <c r="AA68" s="2" t="inlineStr">
        <is>
          <t>2026-10-08 18:15:40</t>
        </is>
      </c>
    </row>
    <row r="69" ht="21.95" customHeight="1">
      <c r="A69" s="2" t="n">
        <v>68</v>
      </c>
      <c r="B69" s="31" t="inlineStr">
        <is>
          <t>http://www.dla.go.th</t>
        </is>
      </c>
      <c r="C69" s="2" t="inlineStr">
        <is>
          <t>หน่วยงานราชการ,องค์กร</t>
        </is>
      </c>
      <c r="D69" s="10">
        <f>F69/71</f>
        <v/>
      </c>
      <c r="E69" s="11">
        <f>IF(D69&gt;=0.9,"ดีเยี่ยม",IF(D69&gt;=0.7,"ดี",IF(D69&gt;=0.5,"พอใช้","ต้องปรับปรุง")))</f>
        <v/>
      </c>
      <c r="F69" s="6">
        <f>J69+N69+R69+V69</f>
        <v/>
      </c>
      <c r="G69" s="6">
        <f>K69+O69+S69+W69</f>
        <v/>
      </c>
      <c r="H69" s="6">
        <f>L69+P69+T69+X69</f>
        <v/>
      </c>
      <c r="I69" s="7">
        <f>J69/37</f>
        <v/>
      </c>
      <c r="J69" s="6" t="n">
        <v>32</v>
      </c>
      <c r="K69" s="6" t="n">
        <v>3</v>
      </c>
      <c r="L69" s="6" t="n">
        <v>2</v>
      </c>
      <c r="M69" s="7">
        <f>N69/9</f>
        <v/>
      </c>
      <c r="N69" s="6" t="n">
        <v>6</v>
      </c>
      <c r="O69" s="6" t="n">
        <v>3</v>
      </c>
      <c r="P69" s="6" t="n">
        <v>0</v>
      </c>
      <c r="Q69" s="7">
        <f>R69/11</f>
        <v/>
      </c>
      <c r="R69" s="6" t="n">
        <v>6</v>
      </c>
      <c r="S69" s="6" t="n">
        <v>4</v>
      </c>
      <c r="T69" s="6" t="n">
        <v>1</v>
      </c>
      <c r="U69" s="7">
        <f>V69/14</f>
        <v/>
      </c>
      <c r="V69" s="6" t="n">
        <v>1</v>
      </c>
      <c r="W69" s="6" t="n">
        <v>13</v>
      </c>
      <c r="X69" s="6" t="n">
        <v>0</v>
      </c>
      <c r="Y69" s="8" t="n">
        <v>15.25</v>
      </c>
      <c r="Z69" s="9" t="inlineStr">
        <is>
          <t>Success</t>
        </is>
      </c>
      <c r="AA69" s="2" t="inlineStr">
        <is>
          <t>2026-10-09 12:04:09</t>
        </is>
      </c>
    </row>
    <row r="70" ht="21.95" customHeight="1">
      <c r="A70" s="2" t="n">
        <v>69</v>
      </c>
      <c r="B70" s="31" t="inlineStr">
        <is>
          <t>http://www.ryoiireview.com</t>
        </is>
      </c>
      <c r="C70" s="2" t="inlineStr">
        <is>
          <t>ช๊อปปิ้ง</t>
        </is>
      </c>
      <c r="D70" s="10">
        <f>F70/71</f>
        <v/>
      </c>
      <c r="E70" s="11">
        <f>IF(D70&gt;=0.9,"ดีเยี่ยม",IF(D70&gt;=0.7,"ดี",IF(D70&gt;=0.5,"พอใช้","ต้องปรับปรุง")))</f>
        <v/>
      </c>
      <c r="F70" s="6">
        <f>J70+N70+R70+V70</f>
        <v/>
      </c>
      <c r="G70" s="6">
        <f>K70+O70+S70+W70</f>
        <v/>
      </c>
      <c r="H70" s="6">
        <f>L70+P70+T70+X70</f>
        <v/>
      </c>
      <c r="I70" s="7">
        <f>J70/37</f>
        <v/>
      </c>
      <c r="J70" s="6" t="n">
        <v>32</v>
      </c>
      <c r="K70" s="6" t="n">
        <v>5</v>
      </c>
      <c r="L70" s="6" t="n">
        <v>0</v>
      </c>
      <c r="M70" s="7">
        <f>N70/9</f>
        <v/>
      </c>
      <c r="N70" s="6" t="n">
        <v>5</v>
      </c>
      <c r="O70" s="6" t="n">
        <v>4</v>
      </c>
      <c r="P70" s="6" t="n">
        <v>0</v>
      </c>
      <c r="Q70" s="7">
        <f>R70/11</f>
        <v/>
      </c>
      <c r="R70" s="6" t="n">
        <v>4</v>
      </c>
      <c r="S70" s="6" t="n">
        <v>3</v>
      </c>
      <c r="T70" s="6" t="n">
        <v>4</v>
      </c>
      <c r="U70" s="7">
        <f>V70/14</f>
        <v/>
      </c>
      <c r="V70" s="6" t="n">
        <v>2</v>
      </c>
      <c r="W70" s="6" t="n">
        <v>12</v>
      </c>
      <c r="X70" s="6" t="n">
        <v>0</v>
      </c>
      <c r="Y70" s="8" t="n">
        <v>21.69</v>
      </c>
      <c r="Z70" s="9" t="inlineStr">
        <is>
          <t>Success</t>
        </is>
      </c>
      <c r="AA70" s="2" t="inlineStr">
        <is>
          <t>2026-10-08 18:16:17</t>
        </is>
      </c>
    </row>
    <row r="71" ht="21.95" customHeight="1">
      <c r="A71" s="2" t="n">
        <v>70</v>
      </c>
      <c r="B71" s="31" t="inlineStr">
        <is>
          <t>http://www.iphone-droid.net</t>
        </is>
      </c>
      <c r="C71" s="2" t="inlineStr">
        <is>
          <t>มือถือ-พีดีเอ</t>
        </is>
      </c>
      <c r="D71" s="4">
        <f>F71/71</f>
        <v/>
      </c>
      <c r="E71" s="5">
        <f>IF(D71&gt;=0.9,"ดีเยี่ยม",IF(D71&gt;=0.7,"ดี",IF(D71&gt;=0.5,"พอใช้","ต้องปรับปรุง")))</f>
        <v/>
      </c>
      <c r="F71" s="6">
        <f>J71+N71+R71+V71</f>
        <v/>
      </c>
      <c r="G71" s="6">
        <f>K71+O71+S71+W71</f>
        <v/>
      </c>
      <c r="H71" s="6">
        <f>L71+P71+T71+X71</f>
        <v/>
      </c>
      <c r="I71" s="7">
        <f>J71/37</f>
        <v/>
      </c>
      <c r="J71" s="6" t="n">
        <v>37</v>
      </c>
      <c r="K71" s="6" t="n">
        <v>0</v>
      </c>
      <c r="L71" s="6" t="n">
        <v>0</v>
      </c>
      <c r="M71" s="7">
        <f>N71/9</f>
        <v/>
      </c>
      <c r="N71" s="6" t="n">
        <v>7</v>
      </c>
      <c r="O71" s="6" t="n">
        <v>2</v>
      </c>
      <c r="P71" s="6" t="n">
        <v>0</v>
      </c>
      <c r="Q71" s="7">
        <f>R71/11</f>
        <v/>
      </c>
      <c r="R71" s="6" t="n">
        <v>4</v>
      </c>
      <c r="S71" s="6" t="n">
        <v>3</v>
      </c>
      <c r="T71" s="6" t="n">
        <v>4</v>
      </c>
      <c r="U71" s="7">
        <f>V71/14</f>
        <v/>
      </c>
      <c r="V71" s="6" t="n">
        <v>2</v>
      </c>
      <c r="W71" s="6" t="n">
        <v>11</v>
      </c>
      <c r="X71" s="6" t="n">
        <v>1</v>
      </c>
      <c r="Y71" s="8" t="n">
        <v>22.07</v>
      </c>
      <c r="Z71" s="9" t="inlineStr">
        <is>
          <t>Success</t>
        </is>
      </c>
      <c r="AA71" s="2" t="inlineStr">
        <is>
          <t>2026-10-08 18:16:39</t>
        </is>
      </c>
    </row>
    <row r="72" ht="21.95" customHeight="1">
      <c r="A72" s="2" t="n">
        <v>71</v>
      </c>
      <c r="B72" s="31" t="inlineStr">
        <is>
          <t>http://www.bugaboo.tv</t>
        </is>
      </c>
      <c r="C72" s="2" t="inlineStr">
        <is>
          <t>บันเทิง</t>
        </is>
      </c>
      <c r="D72" s="4">
        <f>F72/71</f>
        <v/>
      </c>
      <c r="E72" s="5">
        <f>IF(D72&gt;=0.9,"ดีเยี่ยม",IF(D72&gt;=0.7,"ดี",IF(D72&gt;=0.5,"พอใช้","ต้องปรับปรุง")))</f>
        <v/>
      </c>
      <c r="F72" s="6">
        <f>J72+N72+R72+V72</f>
        <v/>
      </c>
      <c r="G72" s="6">
        <f>K72+O72+S72+W72</f>
        <v/>
      </c>
      <c r="H72" s="6">
        <f>L72+P72+T72+X72</f>
        <v/>
      </c>
      <c r="I72" s="7">
        <f>J72/37</f>
        <v/>
      </c>
      <c r="J72" s="6" t="n">
        <v>36</v>
      </c>
      <c r="K72" s="6" t="n">
        <v>1</v>
      </c>
      <c r="L72" s="6" t="n">
        <v>0</v>
      </c>
      <c r="M72" s="7">
        <f>N72/9</f>
        <v/>
      </c>
      <c r="N72" s="6" t="n">
        <v>8</v>
      </c>
      <c r="O72" s="6" t="n">
        <v>1</v>
      </c>
      <c r="P72" s="6" t="n">
        <v>0</v>
      </c>
      <c r="Q72" s="7">
        <f>R72/11</f>
        <v/>
      </c>
      <c r="R72" s="6" t="n">
        <v>7</v>
      </c>
      <c r="S72" s="6" t="n">
        <v>3</v>
      </c>
      <c r="T72" s="6" t="n">
        <v>1</v>
      </c>
      <c r="U72" s="7">
        <f>V72/14</f>
        <v/>
      </c>
      <c r="V72" s="6" t="n">
        <v>2</v>
      </c>
      <c r="W72" s="6" t="n">
        <v>12</v>
      </c>
      <c r="X72" s="6" t="n">
        <v>0</v>
      </c>
      <c r="Y72" s="8" t="n">
        <v>40.41</v>
      </c>
      <c r="Z72" s="9" t="inlineStr">
        <is>
          <t>Success</t>
        </is>
      </c>
      <c r="AA72" s="2" t="inlineStr">
        <is>
          <t>2026-10-08 18:17:19</t>
        </is>
      </c>
    </row>
    <row r="73" ht="21.95" customHeight="1">
      <c r="A73" s="2" t="n">
        <v>72</v>
      </c>
      <c r="B73" s="31" t="inlineStr">
        <is>
          <t>http://www.thunhoon.com</t>
        </is>
      </c>
      <c r="C73" s="2" t="inlineStr">
        <is>
          <t>ข่าว-สื่อ</t>
        </is>
      </c>
      <c r="D73" s="4">
        <f>F73/71</f>
        <v/>
      </c>
      <c r="E73" s="5">
        <f>IF(D73&gt;=0.9,"ดีเยี่ยม",IF(D73&gt;=0.7,"ดี",IF(D73&gt;=0.5,"พอใช้","ต้องปรับปรุง")))</f>
        <v/>
      </c>
      <c r="F73" s="6">
        <f>J73+N73+R73+V73</f>
        <v/>
      </c>
      <c r="G73" s="6">
        <f>K73+O73+S73+W73</f>
        <v/>
      </c>
      <c r="H73" s="6">
        <f>L73+P73+T73+X73</f>
        <v/>
      </c>
      <c r="I73" s="7">
        <f>J73/37</f>
        <v/>
      </c>
      <c r="J73" s="6" t="n">
        <v>36</v>
      </c>
      <c r="K73" s="6" t="n">
        <v>1</v>
      </c>
      <c r="L73" s="6" t="n">
        <v>0</v>
      </c>
      <c r="M73" s="7">
        <f>N73/9</f>
        <v/>
      </c>
      <c r="N73" s="6" t="n">
        <v>8</v>
      </c>
      <c r="O73" s="6" t="n">
        <v>1</v>
      </c>
      <c r="P73" s="6" t="n">
        <v>0</v>
      </c>
      <c r="Q73" s="7">
        <f>R73/11</f>
        <v/>
      </c>
      <c r="R73" s="6" t="n">
        <v>6</v>
      </c>
      <c r="S73" s="6" t="n">
        <v>3</v>
      </c>
      <c r="T73" s="6" t="n">
        <v>2</v>
      </c>
      <c r="U73" s="7">
        <f>V73/14</f>
        <v/>
      </c>
      <c r="V73" s="6" t="n">
        <v>2</v>
      </c>
      <c r="W73" s="6" t="n">
        <v>12</v>
      </c>
      <c r="X73" s="6" t="n">
        <v>0</v>
      </c>
      <c r="Y73" s="8" t="n">
        <v>29.95</v>
      </c>
      <c r="Z73" s="9" t="inlineStr">
        <is>
          <t>Success</t>
        </is>
      </c>
      <c r="AA73" s="2" t="inlineStr">
        <is>
          <t>2026-10-08 18:17:49</t>
        </is>
      </c>
    </row>
    <row r="74" ht="21.95" customHeight="1">
      <c r="A74" s="2" t="n">
        <v>73</v>
      </c>
      <c r="B74" s="31" t="inlineStr">
        <is>
          <t>http://www.9carthai.com</t>
        </is>
      </c>
      <c r="C74" s="2" t="inlineStr">
        <is>
          <t>ยานยนต์</t>
        </is>
      </c>
      <c r="D74" s="10">
        <f>F74/71</f>
        <v/>
      </c>
      <c r="E74" s="11">
        <f>IF(D74&gt;=0.9,"ดีเยี่ยม",IF(D74&gt;=0.7,"ดี",IF(D74&gt;=0.5,"พอใช้","ต้องปรับปรุง")))</f>
        <v/>
      </c>
      <c r="F74" s="6">
        <f>J74+N74+R74+V74</f>
        <v/>
      </c>
      <c r="G74" s="6">
        <f>K74+O74+S74+W74</f>
        <v/>
      </c>
      <c r="H74" s="6">
        <f>L74+P74+T74+X74</f>
        <v/>
      </c>
      <c r="I74" s="7">
        <f>J74/37</f>
        <v/>
      </c>
      <c r="J74" s="6" t="n">
        <v>35</v>
      </c>
      <c r="K74" s="6" t="n">
        <v>2</v>
      </c>
      <c r="L74" s="6" t="n">
        <v>0</v>
      </c>
      <c r="M74" s="7">
        <f>N74/9</f>
        <v/>
      </c>
      <c r="N74" s="6" t="n">
        <v>7</v>
      </c>
      <c r="O74" s="6" t="n">
        <v>2</v>
      </c>
      <c r="P74" s="6" t="n">
        <v>0</v>
      </c>
      <c r="Q74" s="7">
        <f>R74/11</f>
        <v/>
      </c>
      <c r="R74" s="6" t="n">
        <v>4</v>
      </c>
      <c r="S74" s="6" t="n">
        <v>3</v>
      </c>
      <c r="T74" s="6" t="n">
        <v>4</v>
      </c>
      <c r="U74" s="7">
        <f>V74/14</f>
        <v/>
      </c>
      <c r="V74" s="6" t="n">
        <v>3</v>
      </c>
      <c r="W74" s="6" t="n">
        <v>11</v>
      </c>
      <c r="X74" s="6" t="n">
        <v>0</v>
      </c>
      <c r="Y74" s="8" t="n">
        <v>22.64</v>
      </c>
      <c r="Z74" s="9" t="inlineStr">
        <is>
          <t>Success</t>
        </is>
      </c>
      <c r="AA74" s="2" t="inlineStr">
        <is>
          <t>2026-10-08 18:18:12</t>
        </is>
      </c>
    </row>
    <row r="75" ht="21.95" customHeight="1">
      <c r="A75" s="2" t="n">
        <v>74</v>
      </c>
      <c r="B75" s="31" t="inlineStr">
        <is>
          <t>http://www.nextnewsth.com</t>
        </is>
      </c>
      <c r="C75" s="2" t="inlineStr">
        <is>
          <t>ข่าว-สื่อ</t>
        </is>
      </c>
      <c r="D75" s="10">
        <f>F75/71</f>
        <v/>
      </c>
      <c r="E75" s="11">
        <f>IF(D75&gt;=0.9,"ดีเยี่ยม",IF(D75&gt;=0.7,"ดี",IF(D75&gt;=0.5,"พอใช้","ต้องปรับปรุง")))</f>
        <v/>
      </c>
      <c r="F75" s="6">
        <f>J75+N75+R75+V75</f>
        <v/>
      </c>
      <c r="G75" s="6">
        <f>K75+O75+S75+W75</f>
        <v/>
      </c>
      <c r="H75" s="6">
        <f>L75+P75+T75+X75</f>
        <v/>
      </c>
      <c r="I75" s="7">
        <f>J75/37</f>
        <v/>
      </c>
      <c r="J75" s="6" t="n">
        <v>34</v>
      </c>
      <c r="K75" s="6" t="n">
        <v>2</v>
      </c>
      <c r="L75" s="6" t="n">
        <v>1</v>
      </c>
      <c r="M75" s="7">
        <f>N75/9</f>
        <v/>
      </c>
      <c r="N75" s="6" t="n">
        <v>7</v>
      </c>
      <c r="O75" s="6" t="n">
        <v>2</v>
      </c>
      <c r="P75" s="6" t="n">
        <v>0</v>
      </c>
      <c r="Q75" s="7">
        <f>R75/11</f>
        <v/>
      </c>
      <c r="R75" s="6" t="n">
        <v>5</v>
      </c>
      <c r="S75" s="6" t="n">
        <v>2</v>
      </c>
      <c r="T75" s="6" t="n">
        <v>4</v>
      </c>
      <c r="U75" s="7">
        <f>V75/14</f>
        <v/>
      </c>
      <c r="V75" s="6" t="n">
        <v>3</v>
      </c>
      <c r="W75" s="6" t="n">
        <v>9</v>
      </c>
      <c r="X75" s="6" t="n">
        <v>2</v>
      </c>
      <c r="Y75" s="8" t="n">
        <v>22.65</v>
      </c>
      <c r="Z75" s="9" t="inlineStr">
        <is>
          <t>Success</t>
        </is>
      </c>
      <c r="AA75" s="2" t="inlineStr">
        <is>
          <t>2026-10-08 18:18:34</t>
        </is>
      </c>
    </row>
    <row r="76" ht="21.95" customHeight="1">
      <c r="A76" s="2" t="n">
        <v>75</v>
      </c>
      <c r="B76" s="31" t="inlineStr">
        <is>
          <t>http://www.eFinanceThai.com</t>
        </is>
      </c>
      <c r="C76" s="2" t="inlineStr">
        <is>
          <t>ธนาคาร-การเงิน</t>
        </is>
      </c>
      <c r="D76" s="10">
        <f>F76/71</f>
        <v/>
      </c>
      <c r="E76" s="11">
        <f>IF(D76&gt;=0.9,"ดีเยี่ยม",IF(D76&gt;=0.7,"ดี",IF(D76&gt;=0.5,"พอใช้","ต้องปรับปรุง")))</f>
        <v/>
      </c>
      <c r="F76" s="6">
        <f>J76+N76+R76+V76</f>
        <v/>
      </c>
      <c r="G76" s="6">
        <f>K76+O76+S76+W76</f>
        <v/>
      </c>
      <c r="H76" s="6">
        <f>L76+P76+T76+X76</f>
        <v/>
      </c>
      <c r="I76" s="7">
        <f>J76/37</f>
        <v/>
      </c>
      <c r="J76" s="6" t="n">
        <v>34</v>
      </c>
      <c r="K76" s="6" t="n">
        <v>2</v>
      </c>
      <c r="L76" s="6" t="n">
        <v>1</v>
      </c>
      <c r="M76" s="7">
        <f>N76/9</f>
        <v/>
      </c>
      <c r="N76" s="6" t="n">
        <v>7</v>
      </c>
      <c r="O76" s="6" t="n">
        <v>1</v>
      </c>
      <c r="P76" s="6" t="n">
        <v>1</v>
      </c>
      <c r="Q76" s="7">
        <f>R76/11</f>
        <v/>
      </c>
      <c r="R76" s="6" t="n">
        <v>5</v>
      </c>
      <c r="S76" s="6" t="n">
        <v>4</v>
      </c>
      <c r="T76" s="6" t="n">
        <v>2</v>
      </c>
      <c r="U76" s="7">
        <f>V76/14</f>
        <v/>
      </c>
      <c r="V76" s="6" t="n">
        <v>1</v>
      </c>
      <c r="W76" s="6" t="n">
        <v>13</v>
      </c>
      <c r="X76" s="6" t="n">
        <v>0</v>
      </c>
      <c r="Y76" s="8" t="n">
        <v>54.31</v>
      </c>
      <c r="Z76" s="9" t="inlineStr">
        <is>
          <t>Success</t>
        </is>
      </c>
      <c r="AA76" s="2" t="inlineStr">
        <is>
          <t>2026-10-08 18:19:29</t>
        </is>
      </c>
    </row>
    <row r="77" ht="21.95" customHeight="1">
      <c r="A77" s="2" t="n">
        <v>76</v>
      </c>
      <c r="B77" s="31" t="inlineStr">
        <is>
          <t>http://www.springnews.co.th</t>
        </is>
      </c>
      <c r="C77" s="2" t="inlineStr">
        <is>
          <t>ข่าว-สื่อ</t>
        </is>
      </c>
      <c r="D77" s="4">
        <f>F77/71</f>
        <v/>
      </c>
      <c r="E77" s="5">
        <f>IF(D77&gt;=0.9,"ดีเยี่ยม",IF(D77&gt;=0.7,"ดี",IF(D77&gt;=0.5,"พอใช้","ต้องปรับปรุง")))</f>
        <v/>
      </c>
      <c r="F77" s="6">
        <f>J77+N77+R77+V77</f>
        <v/>
      </c>
      <c r="G77" s="6">
        <f>K77+O77+S77+W77</f>
        <v/>
      </c>
      <c r="H77" s="6">
        <f>L77+P77+T77+X77</f>
        <v/>
      </c>
      <c r="I77" s="7">
        <f>J77/37</f>
        <v/>
      </c>
      <c r="J77" s="6" t="n">
        <v>37</v>
      </c>
      <c r="K77" s="6" t="n">
        <v>0</v>
      </c>
      <c r="L77" s="6" t="n">
        <v>0</v>
      </c>
      <c r="M77" s="7">
        <f>N77/9</f>
        <v/>
      </c>
      <c r="N77" s="6" t="n">
        <v>6</v>
      </c>
      <c r="O77" s="6" t="n">
        <v>3</v>
      </c>
      <c r="P77" s="6" t="n">
        <v>0</v>
      </c>
      <c r="Q77" s="7">
        <f>R77/11</f>
        <v/>
      </c>
      <c r="R77" s="6" t="n">
        <v>6</v>
      </c>
      <c r="S77" s="6" t="n">
        <v>1</v>
      </c>
      <c r="T77" s="6" t="n">
        <v>4</v>
      </c>
      <c r="U77" s="7">
        <f>V77/14</f>
        <v/>
      </c>
      <c r="V77" s="6" t="n">
        <v>4</v>
      </c>
      <c r="W77" s="6" t="n">
        <v>8</v>
      </c>
      <c r="X77" s="6" t="n">
        <v>2</v>
      </c>
      <c r="Y77" s="8" t="n">
        <v>21.39</v>
      </c>
      <c r="Z77" s="9" t="inlineStr">
        <is>
          <t>Success</t>
        </is>
      </c>
      <c r="AA77" s="2" t="inlineStr">
        <is>
          <t>2026-10-08 18:19:50</t>
        </is>
      </c>
    </row>
    <row r="78" ht="21.95" customHeight="1">
      <c r="A78" s="2" t="n">
        <v>77</v>
      </c>
      <c r="B78" s="31" t="inlineStr">
        <is>
          <t>http://www.khaosodenglish.com</t>
        </is>
      </c>
      <c r="C78" s="2" t="inlineStr">
        <is>
          <t>ข่าว-สื่อ</t>
        </is>
      </c>
      <c r="D78" s="4">
        <f>F78/71</f>
        <v/>
      </c>
      <c r="E78" s="5">
        <f>IF(D78&gt;=0.9,"ดีเยี่ยม",IF(D78&gt;=0.7,"ดี",IF(D78&gt;=0.5,"พอใช้","ต้องปรับปรุง")))</f>
        <v/>
      </c>
      <c r="F78" s="6">
        <f>J78+N78+R78+V78</f>
        <v/>
      </c>
      <c r="G78" s="6">
        <f>K78+O78+S78+W78</f>
        <v/>
      </c>
      <c r="H78" s="6">
        <f>L78+P78+T78+X78</f>
        <v/>
      </c>
      <c r="I78" s="7">
        <f>J78/37</f>
        <v/>
      </c>
      <c r="J78" s="6" t="n">
        <v>37</v>
      </c>
      <c r="K78" s="6" t="n">
        <v>0</v>
      </c>
      <c r="L78" s="6" t="n">
        <v>0</v>
      </c>
      <c r="M78" s="7">
        <f>N78/9</f>
        <v/>
      </c>
      <c r="N78" s="6" t="n">
        <v>7</v>
      </c>
      <c r="O78" s="6" t="n">
        <v>2</v>
      </c>
      <c r="P78" s="6" t="n">
        <v>0</v>
      </c>
      <c r="Q78" s="7">
        <f>R78/11</f>
        <v/>
      </c>
      <c r="R78" s="6" t="n">
        <v>6</v>
      </c>
      <c r="S78" s="6" t="n">
        <v>1</v>
      </c>
      <c r="T78" s="6" t="n">
        <v>4</v>
      </c>
      <c r="U78" s="7">
        <f>V78/14</f>
        <v/>
      </c>
      <c r="V78" s="6" t="n">
        <v>5</v>
      </c>
      <c r="W78" s="6" t="n">
        <v>9</v>
      </c>
      <c r="X78" s="6" t="n">
        <v>0</v>
      </c>
      <c r="Y78" s="8" t="n">
        <v>28.87</v>
      </c>
      <c r="Z78" s="9" t="inlineStr">
        <is>
          <t>Success</t>
        </is>
      </c>
      <c r="AA78" s="2" t="inlineStr">
        <is>
          <t>2026-10-08 18:20:19</t>
        </is>
      </c>
    </row>
    <row r="79" ht="21.95" customHeight="1">
      <c r="A79" s="2" t="n">
        <v>78</v>
      </c>
      <c r="B79" s="31" t="inlineStr">
        <is>
          <t>http://www.chiangmainews.co.th</t>
        </is>
      </c>
      <c r="C79" s="2" t="inlineStr">
        <is>
          <t>ข่าว-สื่อ</t>
        </is>
      </c>
      <c r="D79" s="10">
        <f>F79/71</f>
        <v/>
      </c>
      <c r="E79" s="11">
        <f>IF(D79&gt;=0.9,"ดีเยี่ยม",IF(D79&gt;=0.7,"ดี",IF(D79&gt;=0.5,"พอใช้","ต้องปรับปรุง")))</f>
        <v/>
      </c>
      <c r="F79" s="6">
        <f>J79+N79+R79+V79</f>
        <v/>
      </c>
      <c r="G79" s="6">
        <f>K79+O79+S79+W79</f>
        <v/>
      </c>
      <c r="H79" s="6">
        <f>L79+P79+T79+X79</f>
        <v/>
      </c>
      <c r="I79" s="7">
        <f>J79/37</f>
        <v/>
      </c>
      <c r="J79" s="6" t="n">
        <v>35</v>
      </c>
      <c r="K79" s="6" t="n">
        <v>2</v>
      </c>
      <c r="L79" s="6" t="n">
        <v>0</v>
      </c>
      <c r="M79" s="7">
        <f>N79/9</f>
        <v/>
      </c>
      <c r="N79" s="6" t="n">
        <v>6</v>
      </c>
      <c r="O79" s="6" t="n">
        <v>3</v>
      </c>
      <c r="P79" s="6" t="n">
        <v>0</v>
      </c>
      <c r="Q79" s="7">
        <f>R79/11</f>
        <v/>
      </c>
      <c r="R79" s="6" t="n">
        <v>5</v>
      </c>
      <c r="S79" s="6" t="n">
        <v>2</v>
      </c>
      <c r="T79" s="6" t="n">
        <v>4</v>
      </c>
      <c r="U79" s="7">
        <f>V79/14</f>
        <v/>
      </c>
      <c r="V79" s="6" t="n">
        <v>3</v>
      </c>
      <c r="W79" s="6" t="n">
        <v>9</v>
      </c>
      <c r="X79" s="6" t="n">
        <v>2</v>
      </c>
      <c r="Y79" s="8" t="n">
        <v>23.24</v>
      </c>
      <c r="Z79" s="9" t="inlineStr">
        <is>
          <t>Success</t>
        </is>
      </c>
      <c r="AA79" s="2" t="inlineStr">
        <is>
          <t>2026-10-08 18:20:42</t>
        </is>
      </c>
    </row>
    <row r="80" ht="21.95" customHeight="1">
      <c r="A80" s="2" t="n">
        <v>79</v>
      </c>
      <c r="B80" s="31" t="inlineStr">
        <is>
          <t>http://www.kroobannok.com</t>
        </is>
      </c>
      <c r="C80" s="2" t="inlineStr">
        <is>
          <t>การศึกษา</t>
        </is>
      </c>
      <c r="D80" s="10">
        <f>F80/71</f>
        <v/>
      </c>
      <c r="E80" s="11">
        <f>IF(D80&gt;=0.9,"ดีเยี่ยม",IF(D80&gt;=0.7,"ดี",IF(D80&gt;=0.5,"พอใช้","ต้องปรับปรุง")))</f>
        <v/>
      </c>
      <c r="F80" s="6">
        <f>J80+N80+R80+V80</f>
        <v/>
      </c>
      <c r="G80" s="6">
        <f>K80+O80+S80+W80</f>
        <v/>
      </c>
      <c r="H80" s="6">
        <f>L80+P80+T80+X80</f>
        <v/>
      </c>
      <c r="I80" s="7">
        <f>J80/37</f>
        <v/>
      </c>
      <c r="J80" s="6" t="n">
        <v>33</v>
      </c>
      <c r="K80" s="6" t="n">
        <v>4</v>
      </c>
      <c r="L80" s="6" t="n">
        <v>0</v>
      </c>
      <c r="M80" s="7">
        <f>N80/9</f>
        <v/>
      </c>
      <c r="N80" s="6" t="n">
        <v>8</v>
      </c>
      <c r="O80" s="6" t="n">
        <v>1</v>
      </c>
      <c r="P80" s="6" t="n">
        <v>0</v>
      </c>
      <c r="Q80" s="7">
        <f>R80/11</f>
        <v/>
      </c>
      <c r="R80" s="6" t="n">
        <v>3</v>
      </c>
      <c r="S80" s="6" t="n">
        <v>4</v>
      </c>
      <c r="T80" s="6" t="n">
        <v>4</v>
      </c>
      <c r="U80" s="7">
        <f>V80/14</f>
        <v/>
      </c>
      <c r="V80" s="6" t="n">
        <v>1</v>
      </c>
      <c r="W80" s="6" t="n">
        <v>13</v>
      </c>
      <c r="X80" s="6" t="n">
        <v>0</v>
      </c>
      <c r="Y80" s="8" t="n">
        <v>29.3</v>
      </c>
      <c r="Z80" s="9" t="inlineStr">
        <is>
          <t>Success</t>
        </is>
      </c>
      <c r="AA80" s="2" t="inlineStr">
        <is>
          <t>2026-10-08 18:21:12</t>
        </is>
      </c>
    </row>
    <row r="81" ht="21.95" customHeight="1">
      <c r="A81" s="2" t="n">
        <v>80</v>
      </c>
      <c r="B81" s="31" t="inlineStr">
        <is>
          <t>http://rsathai.org</t>
        </is>
      </c>
      <c r="C81" s="2" t="inlineStr">
        <is>
          <t>สุขภาพ</t>
        </is>
      </c>
      <c r="D81" s="10">
        <f>F81/71</f>
        <v/>
      </c>
      <c r="E81" s="11">
        <f>IF(D81&gt;=0.9,"ดีเยี่ยม",IF(D81&gt;=0.7,"ดี",IF(D81&gt;=0.5,"พอใช้","ต้องปรับปรุง")))</f>
        <v/>
      </c>
      <c r="F81" s="6">
        <f>J81+N81+R81+V81</f>
        <v/>
      </c>
      <c r="G81" s="6">
        <f>K81+O81+S81+W81</f>
        <v/>
      </c>
      <c r="H81" s="6">
        <f>L81+P81+T81+X81</f>
        <v/>
      </c>
      <c r="I81" s="7">
        <f>J81/37</f>
        <v/>
      </c>
      <c r="J81" s="6" t="n">
        <v>36</v>
      </c>
      <c r="K81" s="6" t="n">
        <v>0</v>
      </c>
      <c r="L81" s="6" t="n">
        <v>1</v>
      </c>
      <c r="M81" s="7">
        <f>N81/9</f>
        <v/>
      </c>
      <c r="N81" s="6" t="n">
        <v>7</v>
      </c>
      <c r="O81" s="6" t="n">
        <v>1</v>
      </c>
      <c r="P81" s="6" t="n">
        <v>1</v>
      </c>
      <c r="Q81" s="7">
        <f>R81/11</f>
        <v/>
      </c>
      <c r="R81" s="6" t="n">
        <v>3</v>
      </c>
      <c r="S81" s="6" t="n">
        <v>4</v>
      </c>
      <c r="T81" s="6" t="n">
        <v>4</v>
      </c>
      <c r="U81" s="7">
        <f>V81/14</f>
        <v/>
      </c>
      <c r="V81" s="6" t="n">
        <v>1</v>
      </c>
      <c r="W81" s="6" t="n">
        <v>12</v>
      </c>
      <c r="X81" s="6" t="n">
        <v>1</v>
      </c>
      <c r="Y81" s="8" t="n">
        <v>16.25</v>
      </c>
      <c r="Z81" s="9" t="inlineStr">
        <is>
          <t>Success</t>
        </is>
      </c>
      <c r="AA81" s="2" t="inlineStr">
        <is>
          <t>2026-10-08 18:21:28</t>
        </is>
      </c>
    </row>
    <row r="82" ht="21.95" customHeight="1">
      <c r="A82" s="2" t="n">
        <v>81</v>
      </c>
      <c r="B82" s="31" t="inlineStr">
        <is>
          <t>http://www.oryor.com</t>
        </is>
      </c>
      <c r="C82" s="2" t="inlineStr">
        <is>
          <t>สุขภาพ</t>
        </is>
      </c>
      <c r="D82" s="4">
        <f>F82/71</f>
        <v/>
      </c>
      <c r="E82" s="5">
        <f>IF(D82&gt;=0.9,"ดีเยี่ยม",IF(D82&gt;=0.7,"ดี",IF(D82&gt;=0.5,"พอใช้","ต้องปรับปรุง")))</f>
        <v/>
      </c>
      <c r="F82" s="6">
        <f>J82+N82+R82+V82</f>
        <v/>
      </c>
      <c r="G82" s="6">
        <f>K82+O82+S82+W82</f>
        <v/>
      </c>
      <c r="H82" s="6">
        <f>L82+P82+T82+X82</f>
        <v/>
      </c>
      <c r="I82" s="7">
        <f>J82/37</f>
        <v/>
      </c>
      <c r="J82" s="6" t="n">
        <v>37</v>
      </c>
      <c r="K82" s="6" t="n">
        <v>0</v>
      </c>
      <c r="L82" s="6" t="n">
        <v>0</v>
      </c>
      <c r="M82" s="7">
        <f>N82/9</f>
        <v/>
      </c>
      <c r="N82" s="6" t="n">
        <v>8</v>
      </c>
      <c r="O82" s="6" t="n">
        <v>1</v>
      </c>
      <c r="P82" s="6" t="n">
        <v>0</v>
      </c>
      <c r="Q82" s="7">
        <f>R82/11</f>
        <v/>
      </c>
      <c r="R82" s="6" t="n">
        <v>5</v>
      </c>
      <c r="S82" s="6" t="n">
        <v>3</v>
      </c>
      <c r="T82" s="6" t="n">
        <v>3</v>
      </c>
      <c r="U82" s="7">
        <f>V82/14</f>
        <v/>
      </c>
      <c r="V82" s="6" t="n">
        <v>2</v>
      </c>
      <c r="W82" s="6" t="n">
        <v>12</v>
      </c>
      <c r="X82" s="6" t="n">
        <v>0</v>
      </c>
      <c r="Y82" s="8" t="n">
        <v>21.98</v>
      </c>
      <c r="Z82" s="9" t="inlineStr">
        <is>
          <t>Success</t>
        </is>
      </c>
      <c r="AA82" s="2" t="inlineStr">
        <is>
          <t>2026-10-08 18:21:50</t>
        </is>
      </c>
    </row>
    <row r="83" ht="21.95" customHeight="1">
      <c r="A83" s="2" t="n">
        <v>82</v>
      </c>
      <c r="B83" s="31" t="inlineStr">
        <is>
          <t>http://www.banmuang.co.th</t>
        </is>
      </c>
      <c r="C83" s="2" t="inlineStr">
        <is>
          <t>ข่าว-สื่อ</t>
        </is>
      </c>
      <c r="D83" s="10">
        <f>F83/71</f>
        <v/>
      </c>
      <c r="E83" s="11">
        <f>IF(D83&gt;=0.9,"ดีเยี่ยม",IF(D83&gt;=0.7,"ดี",IF(D83&gt;=0.5,"พอใช้","ต้องปรับปรุง")))</f>
        <v/>
      </c>
      <c r="F83" s="6">
        <f>J83+N83+R83+V83</f>
        <v/>
      </c>
      <c r="G83" s="6">
        <f>K83+O83+S83+W83</f>
        <v/>
      </c>
      <c r="H83" s="6">
        <f>L83+P83+T83+X83</f>
        <v/>
      </c>
      <c r="I83" s="7">
        <f>J83/37</f>
        <v/>
      </c>
      <c r="J83" s="6" t="n">
        <v>29</v>
      </c>
      <c r="K83" s="6" t="n">
        <v>7</v>
      </c>
      <c r="L83" s="6" t="n">
        <v>1</v>
      </c>
      <c r="M83" s="7">
        <f>N83/9</f>
        <v/>
      </c>
      <c r="N83" s="6" t="n">
        <v>9</v>
      </c>
      <c r="O83" s="6" t="n">
        <v>0</v>
      </c>
      <c r="P83" s="6" t="n">
        <v>0</v>
      </c>
      <c r="Q83" s="7">
        <f>R83/11</f>
        <v/>
      </c>
      <c r="R83" s="6" t="n">
        <v>6</v>
      </c>
      <c r="S83" s="6" t="n">
        <v>4</v>
      </c>
      <c r="T83" s="6" t="n">
        <v>1</v>
      </c>
      <c r="U83" s="7">
        <f>V83/14</f>
        <v/>
      </c>
      <c r="V83" s="6" t="n">
        <v>2</v>
      </c>
      <c r="W83" s="6" t="n">
        <v>12</v>
      </c>
      <c r="X83" s="6" t="n">
        <v>0</v>
      </c>
      <c r="Y83" s="8" t="n">
        <v>49.29</v>
      </c>
      <c r="Z83" s="9" t="inlineStr">
        <is>
          <t>Success</t>
        </is>
      </c>
      <c r="AA83" s="2" t="inlineStr">
        <is>
          <t>2026-10-08 18:22:39</t>
        </is>
      </c>
    </row>
    <row r="84" ht="21.95" customHeight="1">
      <c r="A84" s="2" t="n">
        <v>83</v>
      </c>
      <c r="B84" s="31" t="inlineStr">
        <is>
          <t>http://www.share2trade.com</t>
        </is>
      </c>
      <c r="C84" s="2" t="inlineStr">
        <is>
          <t>ธนาคาร-การเงิน</t>
        </is>
      </c>
      <c r="D84" s="10">
        <f>F84/71</f>
        <v/>
      </c>
      <c r="E84" s="11">
        <f>IF(D84&gt;=0.9,"ดีเยี่ยม",IF(D84&gt;=0.7,"ดี",IF(D84&gt;=0.5,"พอใช้","ต้องปรับปรุง")))</f>
        <v/>
      </c>
      <c r="F84" s="6">
        <f>J84+N84+R84+V84</f>
        <v/>
      </c>
      <c r="G84" s="6">
        <f>K84+O84+S84+W84</f>
        <v/>
      </c>
      <c r="H84" s="6">
        <f>L84+P84+T84+X84</f>
        <v/>
      </c>
      <c r="I84" s="7">
        <f>J84/37</f>
        <v/>
      </c>
      <c r="J84" s="6" t="n">
        <v>33</v>
      </c>
      <c r="K84" s="6" t="n">
        <v>4</v>
      </c>
      <c r="L84" s="6" t="n">
        <v>0</v>
      </c>
      <c r="M84" s="7">
        <f>N84/9</f>
        <v/>
      </c>
      <c r="N84" s="6" t="n">
        <v>7</v>
      </c>
      <c r="O84" s="6" t="n">
        <v>1</v>
      </c>
      <c r="P84" s="6" t="n">
        <v>1</v>
      </c>
      <c r="Q84" s="7">
        <f>R84/11</f>
        <v/>
      </c>
      <c r="R84" s="6" t="n">
        <v>4</v>
      </c>
      <c r="S84" s="6" t="n">
        <v>3</v>
      </c>
      <c r="T84" s="6" t="n">
        <v>4</v>
      </c>
      <c r="U84" s="7">
        <f>V84/14</f>
        <v/>
      </c>
      <c r="V84" s="6" t="n">
        <v>3</v>
      </c>
      <c r="W84" s="6" t="n">
        <v>10</v>
      </c>
      <c r="X84" s="6" t="n">
        <v>1</v>
      </c>
      <c r="Y84" s="8" t="n">
        <v>26.85</v>
      </c>
      <c r="Z84" s="9" t="inlineStr">
        <is>
          <t>Success</t>
        </is>
      </c>
      <c r="AA84" s="2" t="inlineStr">
        <is>
          <t>2026-10-08 18:23:06</t>
        </is>
      </c>
    </row>
    <row r="85" ht="21.95" customHeight="1">
      <c r="A85" s="2" t="n">
        <v>84</v>
      </c>
      <c r="B85" s="31" t="inlineStr">
        <is>
          <t>http://www.nangdee.com</t>
        </is>
      </c>
      <c r="C85" s="2" t="inlineStr">
        <is>
          <t>บันเทิง</t>
        </is>
      </c>
      <c r="D85" s="10">
        <f>F85/71</f>
        <v/>
      </c>
      <c r="E85" s="11">
        <f>IF(D85&gt;=0.9,"ดีเยี่ยม",IF(D85&gt;=0.7,"ดี",IF(D85&gt;=0.5,"พอใช้","ต้องปรับปรุง")))</f>
        <v/>
      </c>
      <c r="F85" s="6">
        <f>J85+N85+R85+V85</f>
        <v/>
      </c>
      <c r="G85" s="6">
        <f>K85+O85+S85+W85</f>
        <v/>
      </c>
      <c r="H85" s="6">
        <f>L85+P85+T85+X85</f>
        <v/>
      </c>
      <c r="I85" s="7">
        <f>J85/37</f>
        <v/>
      </c>
      <c r="J85" s="6" t="n">
        <v>31</v>
      </c>
      <c r="K85" s="6" t="n">
        <v>6</v>
      </c>
      <c r="L85" s="6" t="n">
        <v>0</v>
      </c>
      <c r="M85" s="7">
        <f>N85/9</f>
        <v/>
      </c>
      <c r="N85" s="6" t="n">
        <v>7</v>
      </c>
      <c r="O85" s="6" t="n">
        <v>2</v>
      </c>
      <c r="P85" s="6" t="n">
        <v>0</v>
      </c>
      <c r="Q85" s="7">
        <f>R85/11</f>
        <v/>
      </c>
      <c r="R85" s="6" t="n">
        <v>3</v>
      </c>
      <c r="S85" s="6" t="n">
        <v>4</v>
      </c>
      <c r="T85" s="6" t="n">
        <v>4</v>
      </c>
      <c r="U85" s="7">
        <f>V85/14</f>
        <v/>
      </c>
      <c r="V85" s="6" t="n">
        <v>2</v>
      </c>
      <c r="W85" s="6" t="n">
        <v>12</v>
      </c>
      <c r="X85" s="6" t="n">
        <v>0</v>
      </c>
      <c r="Y85" s="8" t="n">
        <v>22.45</v>
      </c>
      <c r="Z85" s="9" t="inlineStr">
        <is>
          <t>Success</t>
        </is>
      </c>
      <c r="AA85" s="2" t="inlineStr">
        <is>
          <t>2026-10-08 18:23:28</t>
        </is>
      </c>
    </row>
    <row r="86" ht="21.95" customHeight="1">
      <c r="A86" s="2" t="n">
        <v>85</v>
      </c>
      <c r="B86" s="31" t="inlineStr">
        <is>
          <t>http://www.beartai.com</t>
        </is>
      </c>
      <c r="C86" s="2" t="inlineStr">
        <is>
          <t>คอมพิวเตอร์</t>
        </is>
      </c>
      <c r="D86" s="4">
        <f>F86/71</f>
        <v/>
      </c>
      <c r="E86" s="5">
        <f>IF(D86&gt;=0.9,"ดีเยี่ยม",IF(D86&gt;=0.7,"ดี",IF(D86&gt;=0.5,"พอใช้","ต้องปรับปรุง")))</f>
        <v/>
      </c>
      <c r="F86" s="6">
        <f>J86+N86+R86+V86</f>
        <v/>
      </c>
      <c r="G86" s="6">
        <f>K86+O86+S86+W86</f>
        <v/>
      </c>
      <c r="H86" s="6">
        <f>L86+P86+T86+X86</f>
        <v/>
      </c>
      <c r="I86" s="7">
        <f>J86/37</f>
        <v/>
      </c>
      <c r="J86" s="6" t="n">
        <v>33</v>
      </c>
      <c r="K86" s="6" t="n">
        <v>3</v>
      </c>
      <c r="L86" s="6" t="n">
        <v>1</v>
      </c>
      <c r="M86" s="7">
        <f>N86/9</f>
        <v/>
      </c>
      <c r="N86" s="6" t="n">
        <v>7</v>
      </c>
      <c r="O86" s="6" t="n">
        <v>2</v>
      </c>
      <c r="P86" s="6" t="n">
        <v>0</v>
      </c>
      <c r="Q86" s="7">
        <f>R86/11</f>
        <v/>
      </c>
      <c r="R86" s="6" t="n">
        <v>6</v>
      </c>
      <c r="S86" s="6" t="n">
        <v>1</v>
      </c>
      <c r="T86" s="6" t="n">
        <v>4</v>
      </c>
      <c r="U86" s="7">
        <f>V86/14</f>
        <v/>
      </c>
      <c r="V86" s="6" t="n">
        <v>7</v>
      </c>
      <c r="W86" s="6" t="n">
        <v>6</v>
      </c>
      <c r="X86" s="6" t="n">
        <v>1</v>
      </c>
      <c r="Y86" s="8" t="n">
        <v>23.63</v>
      </c>
      <c r="Z86" s="9" t="inlineStr">
        <is>
          <t>Success</t>
        </is>
      </c>
      <c r="AA86" s="2" t="inlineStr">
        <is>
          <t>2026-10-08 18:23:52</t>
        </is>
      </c>
    </row>
    <row r="87" ht="21.95" customHeight="1">
      <c r="A87" s="2" t="n">
        <v>86</v>
      </c>
      <c r="B87" s="31" t="inlineStr">
        <is>
          <t>http://www.overclockzone.com</t>
        </is>
      </c>
      <c r="C87" s="2" t="inlineStr">
        <is>
          <t>คอมพิวเตอร์</t>
        </is>
      </c>
      <c r="D87" s="10">
        <f>F87/71</f>
        <v/>
      </c>
      <c r="E87" s="11">
        <f>IF(D87&gt;=0.9,"ดีเยี่ยม",IF(D87&gt;=0.7,"ดี",IF(D87&gt;=0.5,"พอใช้","ต้องปรับปรุง")))</f>
        <v/>
      </c>
      <c r="F87" s="6">
        <f>J87+N87+R87+V87</f>
        <v/>
      </c>
      <c r="G87" s="6">
        <f>K87+O87+S87+W87</f>
        <v/>
      </c>
      <c r="H87" s="6">
        <f>L87+P87+T87+X87</f>
        <v/>
      </c>
      <c r="I87" s="7">
        <f>J87/37</f>
        <v/>
      </c>
      <c r="J87" s="6" t="n">
        <v>29</v>
      </c>
      <c r="K87" s="6" t="n">
        <v>8</v>
      </c>
      <c r="L87" s="6" t="n">
        <v>0</v>
      </c>
      <c r="M87" s="7">
        <f>N87/9</f>
        <v/>
      </c>
      <c r="N87" s="6" t="n">
        <v>8</v>
      </c>
      <c r="O87" s="6" t="n">
        <v>1</v>
      </c>
      <c r="P87" s="6" t="n">
        <v>0</v>
      </c>
      <c r="Q87" s="7">
        <f>R87/11</f>
        <v/>
      </c>
      <c r="R87" s="6" t="n">
        <v>5</v>
      </c>
      <c r="S87" s="6" t="n">
        <v>4</v>
      </c>
      <c r="T87" s="6" t="n">
        <v>2</v>
      </c>
      <c r="U87" s="7">
        <f>V87/14</f>
        <v/>
      </c>
      <c r="V87" s="6" t="n">
        <v>2</v>
      </c>
      <c r="W87" s="6" t="n">
        <v>12</v>
      </c>
      <c r="X87" s="6" t="n">
        <v>0</v>
      </c>
      <c r="Y87" s="8" t="n">
        <v>23.08</v>
      </c>
      <c r="Z87" s="9" t="inlineStr">
        <is>
          <t>Success</t>
        </is>
      </c>
      <c r="AA87" s="2" t="inlineStr">
        <is>
          <t>2026-10-09 12:04:32</t>
        </is>
      </c>
    </row>
    <row r="88" ht="21.95" customHeight="1">
      <c r="A88" s="2" t="n">
        <v>87</v>
      </c>
      <c r="B88" s="31" t="inlineStr">
        <is>
          <t>http://www.setinvestnow.com</t>
        </is>
      </c>
      <c r="C88" s="2" t="inlineStr">
        <is>
          <t>ธนาคาร-การเงิน</t>
        </is>
      </c>
      <c r="D88" s="4">
        <f>F88/71</f>
        <v/>
      </c>
      <c r="E88" s="5">
        <f>IF(D88&gt;=0.9,"ดีเยี่ยม",IF(D88&gt;=0.7,"ดี",IF(D88&gt;=0.5,"พอใช้","ต้องปรับปรุง")))</f>
        <v/>
      </c>
      <c r="F88" s="6">
        <f>J88+N88+R88+V88</f>
        <v/>
      </c>
      <c r="G88" s="6">
        <f>K88+O88+S88+W88</f>
        <v/>
      </c>
      <c r="H88" s="6">
        <f>L88+P88+T88+X88</f>
        <v/>
      </c>
      <c r="I88" s="7">
        <f>J88/37</f>
        <v/>
      </c>
      <c r="J88" s="6" t="n">
        <v>35</v>
      </c>
      <c r="K88" s="6" t="n">
        <v>0</v>
      </c>
      <c r="L88" s="6" t="n">
        <v>2</v>
      </c>
      <c r="M88" s="7">
        <f>N88/9</f>
        <v/>
      </c>
      <c r="N88" s="6" t="n">
        <v>6</v>
      </c>
      <c r="O88" s="6" t="n">
        <v>2</v>
      </c>
      <c r="P88" s="6" t="n">
        <v>1</v>
      </c>
      <c r="Q88" s="7">
        <f>R88/11</f>
        <v/>
      </c>
      <c r="R88" s="6" t="n">
        <v>8</v>
      </c>
      <c r="S88" s="6" t="n">
        <v>2</v>
      </c>
      <c r="T88" s="6" t="n">
        <v>1</v>
      </c>
      <c r="U88" s="7">
        <f>V88/14</f>
        <v/>
      </c>
      <c r="V88" s="6" t="n">
        <v>3</v>
      </c>
      <c r="W88" s="6" t="n">
        <v>9</v>
      </c>
      <c r="X88" s="6" t="n">
        <v>2</v>
      </c>
      <c r="Y88" s="8" t="n">
        <v>22.67</v>
      </c>
      <c r="Z88" s="9" t="inlineStr">
        <is>
          <t>Success</t>
        </is>
      </c>
      <c r="AA88" s="2" t="inlineStr">
        <is>
          <t>2026-10-08 18:25:51</t>
        </is>
      </c>
    </row>
    <row r="89" ht="21.95" customHeight="1">
      <c r="A89" s="2" t="n">
        <v>88</v>
      </c>
      <c r="B89" s="31" t="inlineStr">
        <is>
          <t>http://marketingoops.com</t>
        </is>
      </c>
      <c r="C89" s="2" t="inlineStr">
        <is>
          <t>ธุรกิจ</t>
        </is>
      </c>
      <c r="D89" s="4">
        <f>F89/71</f>
        <v/>
      </c>
      <c r="E89" s="5">
        <f>IF(D89&gt;=0.9,"ดีเยี่ยม",IF(D89&gt;=0.7,"ดี",IF(D89&gt;=0.5,"พอใช้","ต้องปรับปรุง")))</f>
        <v/>
      </c>
      <c r="F89" s="6">
        <f>J89+N89+R89+V89</f>
        <v/>
      </c>
      <c r="G89" s="6">
        <f>K89+O89+S89+W89</f>
        <v/>
      </c>
      <c r="H89" s="6">
        <f>L89+P89+T89+X89</f>
        <v/>
      </c>
      <c r="I89" s="7">
        <f>J89/37</f>
        <v/>
      </c>
      <c r="J89" s="6" t="n">
        <v>33</v>
      </c>
      <c r="K89" s="6" t="n">
        <v>4</v>
      </c>
      <c r="L89" s="6" t="n">
        <v>0</v>
      </c>
      <c r="M89" s="7">
        <f>N89/9</f>
        <v/>
      </c>
      <c r="N89" s="6" t="n">
        <v>8</v>
      </c>
      <c r="O89" s="6" t="n">
        <v>1</v>
      </c>
      <c r="P89" s="6" t="n">
        <v>0</v>
      </c>
      <c r="Q89" s="7">
        <f>R89/11</f>
        <v/>
      </c>
      <c r="R89" s="6" t="n">
        <v>6</v>
      </c>
      <c r="S89" s="6" t="n">
        <v>2</v>
      </c>
      <c r="T89" s="6" t="n">
        <v>3</v>
      </c>
      <c r="U89" s="7">
        <f>V89/14</f>
        <v/>
      </c>
      <c r="V89" s="6" t="n">
        <v>6</v>
      </c>
      <c r="W89" s="6" t="n">
        <v>8</v>
      </c>
      <c r="X89" s="6" t="n">
        <v>0</v>
      </c>
      <c r="Y89" s="8" t="n">
        <v>26.54</v>
      </c>
      <c r="Z89" s="9" t="inlineStr">
        <is>
          <t>Success</t>
        </is>
      </c>
      <c r="AA89" s="2" t="inlineStr">
        <is>
          <t>2026-10-08 18:26:18</t>
        </is>
      </c>
    </row>
    <row r="90" ht="21.95" customHeight="1">
      <c r="A90" s="2" t="n">
        <v>89</v>
      </c>
      <c r="B90" s="31" t="inlineStr">
        <is>
          <t>http://th.openrice.com</t>
        </is>
      </c>
      <c r="C90" s="2" t="inlineStr">
        <is>
          <t>ช๊อปปิ้ง</t>
        </is>
      </c>
      <c r="D90" s="4">
        <f>F90/71</f>
        <v/>
      </c>
      <c r="E90" s="5">
        <f>IF(D90&gt;=0.9,"ดีเยี่ยม",IF(D90&gt;=0.7,"ดี",IF(D90&gt;=0.5,"พอใช้","ต้องปรับปรุง")))</f>
        <v/>
      </c>
      <c r="F90" s="6">
        <f>J90+N90+R90+V90</f>
        <v/>
      </c>
      <c r="G90" s="6">
        <f>K90+O90+S90+W90</f>
        <v/>
      </c>
      <c r="H90" s="6">
        <f>L90+P90+T90+X90</f>
        <v/>
      </c>
      <c r="I90" s="7">
        <f>J90/37</f>
        <v/>
      </c>
      <c r="J90" s="6" t="n">
        <v>35</v>
      </c>
      <c r="K90" s="6" t="n">
        <v>1</v>
      </c>
      <c r="L90" s="6" t="n">
        <v>1</v>
      </c>
      <c r="M90" s="7">
        <f>N90/9</f>
        <v/>
      </c>
      <c r="N90" s="6" t="n">
        <v>9</v>
      </c>
      <c r="O90" s="6" t="n">
        <v>0</v>
      </c>
      <c r="P90" s="6" t="n">
        <v>0</v>
      </c>
      <c r="Q90" s="7">
        <f>R90/11</f>
        <v/>
      </c>
      <c r="R90" s="6" t="n">
        <v>6</v>
      </c>
      <c r="S90" s="6" t="n">
        <v>3</v>
      </c>
      <c r="T90" s="6" t="n">
        <v>2</v>
      </c>
      <c r="U90" s="7">
        <f>V90/14</f>
        <v/>
      </c>
      <c r="V90" s="6" t="n">
        <v>3</v>
      </c>
      <c r="W90" s="6" t="n">
        <v>11</v>
      </c>
      <c r="X90" s="6" t="n">
        <v>0</v>
      </c>
      <c r="Y90" s="8" t="n">
        <v>19.19</v>
      </c>
      <c r="Z90" s="9" t="inlineStr">
        <is>
          <t>Success</t>
        </is>
      </c>
      <c r="AA90" s="2" t="inlineStr">
        <is>
          <t>2026-10-08 18:26:37</t>
        </is>
      </c>
    </row>
    <row r="91" ht="21.95" customHeight="1">
      <c r="A91" s="2" t="n">
        <v>90</v>
      </c>
      <c r="B91" s="31" t="inlineStr">
        <is>
          <t>http://thepeople.co</t>
        </is>
      </c>
      <c r="C91" s="2" t="inlineStr">
        <is>
          <t>ข่าว-สื่อ</t>
        </is>
      </c>
      <c r="D91" s="10">
        <f>F91/71</f>
        <v/>
      </c>
      <c r="E91" s="11">
        <f>IF(D91&gt;=0.9,"ดีเยี่ยม",IF(D91&gt;=0.7,"ดี",IF(D91&gt;=0.5,"พอใช้","ต้องปรับปรุง")))</f>
        <v/>
      </c>
      <c r="F91" s="6">
        <f>J91+N91+R91+V91</f>
        <v/>
      </c>
      <c r="G91" s="6">
        <f>K91+O91+S91+W91</f>
        <v/>
      </c>
      <c r="H91" s="6">
        <f>L91+P91+T91+X91</f>
        <v/>
      </c>
      <c r="I91" s="7">
        <f>J91/37</f>
        <v/>
      </c>
      <c r="J91" s="6" t="n">
        <v>36</v>
      </c>
      <c r="K91" s="6" t="n">
        <v>0</v>
      </c>
      <c r="L91" s="6" t="n">
        <v>1</v>
      </c>
      <c r="M91" s="7">
        <f>N91/9</f>
        <v/>
      </c>
      <c r="N91" s="6" t="n">
        <v>7</v>
      </c>
      <c r="O91" s="6" t="n">
        <v>2</v>
      </c>
      <c r="P91" s="6" t="n">
        <v>0</v>
      </c>
      <c r="Q91" s="7">
        <f>R91/11</f>
        <v/>
      </c>
      <c r="R91" s="6" t="n">
        <v>4</v>
      </c>
      <c r="S91" s="6" t="n">
        <v>3</v>
      </c>
      <c r="T91" s="6" t="n">
        <v>4</v>
      </c>
      <c r="U91" s="7">
        <f>V91/14</f>
        <v/>
      </c>
      <c r="V91" s="6" t="n">
        <v>2</v>
      </c>
      <c r="W91" s="6" t="n">
        <v>12</v>
      </c>
      <c r="X91" s="6" t="n">
        <v>0</v>
      </c>
      <c r="Y91" s="8" t="n">
        <v>18.98</v>
      </c>
      <c r="Z91" s="9" t="inlineStr">
        <is>
          <t>Success</t>
        </is>
      </c>
      <c r="AA91" s="2" t="inlineStr">
        <is>
          <t>2026-10-08 18:26:56</t>
        </is>
      </c>
    </row>
    <row r="92" ht="21.95" customHeight="1">
      <c r="A92" s="2" t="n">
        <v>91</v>
      </c>
      <c r="B92" s="31" t="inlineStr">
        <is>
          <t>http://www.brighttv.co.th</t>
        </is>
      </c>
      <c r="C92" s="2" t="inlineStr">
        <is>
          <t>ข่าว-สื่อ</t>
        </is>
      </c>
      <c r="D92" s="4">
        <f>F92/71</f>
        <v/>
      </c>
      <c r="E92" s="5">
        <f>IF(D92&gt;=0.9,"ดีเยี่ยม",IF(D92&gt;=0.7,"ดี",IF(D92&gt;=0.5,"พอใช้","ต้องปรับปรุง")))</f>
        <v/>
      </c>
      <c r="F92" s="6">
        <f>J92+N92+R92+V92</f>
        <v/>
      </c>
      <c r="G92" s="6">
        <f>K92+O92+S92+W92</f>
        <v/>
      </c>
      <c r="H92" s="6">
        <f>L92+P92+T92+X92</f>
        <v/>
      </c>
      <c r="I92" s="7">
        <f>J92/37</f>
        <v/>
      </c>
      <c r="J92" s="6" t="n">
        <v>33</v>
      </c>
      <c r="K92" s="6" t="n">
        <v>3</v>
      </c>
      <c r="L92" s="6" t="n">
        <v>1</v>
      </c>
      <c r="M92" s="7">
        <f>N92/9</f>
        <v/>
      </c>
      <c r="N92" s="6" t="n">
        <v>6</v>
      </c>
      <c r="O92" s="6" t="n">
        <v>3</v>
      </c>
      <c r="P92" s="6" t="n">
        <v>0</v>
      </c>
      <c r="Q92" s="7">
        <f>R92/11</f>
        <v/>
      </c>
      <c r="R92" s="6" t="n">
        <v>7</v>
      </c>
      <c r="S92" s="6" t="n">
        <v>1</v>
      </c>
      <c r="T92" s="6" t="n">
        <v>3</v>
      </c>
      <c r="U92" s="7">
        <f>V92/14</f>
        <v/>
      </c>
      <c r="V92" s="6" t="n">
        <v>5</v>
      </c>
      <c r="W92" s="6" t="n">
        <v>8</v>
      </c>
      <c r="X92" s="6" t="n">
        <v>1</v>
      </c>
      <c r="Y92" s="8" t="n">
        <v>28.5</v>
      </c>
      <c r="Z92" s="9" t="inlineStr">
        <is>
          <t>Success</t>
        </is>
      </c>
      <c r="AA92" s="2" t="inlineStr">
        <is>
          <t>2026-10-08 18:27:24</t>
        </is>
      </c>
    </row>
    <row r="93" ht="21.95" customHeight="1">
      <c r="A93" s="2" t="n">
        <v>92</v>
      </c>
      <c r="B93" s="31" t="inlineStr">
        <is>
          <t>http://www.tkpark.or.th</t>
        </is>
      </c>
      <c r="C93" s="2" t="inlineStr">
        <is>
          <t>การศึกษา</t>
        </is>
      </c>
      <c r="D93" s="4">
        <f>F93/71</f>
        <v/>
      </c>
      <c r="E93" s="5">
        <f>IF(D93&gt;=0.9,"ดีเยี่ยม",IF(D93&gt;=0.7,"ดี",IF(D93&gt;=0.5,"พอใช้","ต้องปรับปรุง")))</f>
        <v/>
      </c>
      <c r="F93" s="6">
        <f>J93+N93+R93+V93</f>
        <v/>
      </c>
      <c r="G93" s="6">
        <f>K93+O93+S93+W93</f>
        <v/>
      </c>
      <c r="H93" s="6">
        <f>L93+P93+T93+X93</f>
        <v/>
      </c>
      <c r="I93" s="7">
        <f>J93/37</f>
        <v/>
      </c>
      <c r="J93" s="6" t="n">
        <v>34</v>
      </c>
      <c r="K93" s="6" t="n">
        <v>3</v>
      </c>
      <c r="L93" s="6" t="n">
        <v>0</v>
      </c>
      <c r="M93" s="7">
        <f>N93/9</f>
        <v/>
      </c>
      <c r="N93" s="6" t="n">
        <v>8</v>
      </c>
      <c r="O93" s="6" t="n">
        <v>1</v>
      </c>
      <c r="P93" s="6" t="n">
        <v>0</v>
      </c>
      <c r="Q93" s="7">
        <f>R93/11</f>
        <v/>
      </c>
      <c r="R93" s="6" t="n">
        <v>5</v>
      </c>
      <c r="S93" s="6" t="n">
        <v>2</v>
      </c>
      <c r="T93" s="6" t="n">
        <v>4</v>
      </c>
      <c r="U93" s="7">
        <f>V93/14</f>
        <v/>
      </c>
      <c r="V93" s="6" t="n">
        <v>4</v>
      </c>
      <c r="W93" s="6" t="n">
        <v>10</v>
      </c>
      <c r="X93" s="6" t="n">
        <v>0</v>
      </c>
      <c r="Y93" s="8" t="n">
        <v>20.57</v>
      </c>
      <c r="Z93" s="9" t="inlineStr">
        <is>
          <t>Success</t>
        </is>
      </c>
      <c r="AA93" s="2" t="inlineStr">
        <is>
          <t>2026-10-08 18:27:45</t>
        </is>
      </c>
    </row>
    <row r="94" ht="21.95" customHeight="1">
      <c r="A94" s="2" t="n">
        <v>93</v>
      </c>
      <c r="B94" s="31" t="inlineStr">
        <is>
          <t>http://www.tfex.co.th</t>
        </is>
      </c>
      <c r="C94" s="2" t="inlineStr">
        <is>
          <t>ธนาคาร-การเงิน</t>
        </is>
      </c>
      <c r="D94" s="4">
        <f>F94/71</f>
        <v/>
      </c>
      <c r="E94" s="5">
        <f>IF(D94&gt;=0.9,"ดีเยี่ยม",IF(D94&gt;=0.7,"ดี",IF(D94&gt;=0.5,"พอใช้","ต้องปรับปรุง")))</f>
        <v/>
      </c>
      <c r="F94" s="6">
        <f>J94+N94+R94+V94</f>
        <v/>
      </c>
      <c r="G94" s="6">
        <f>K94+O94+S94+W94</f>
        <v/>
      </c>
      <c r="H94" s="6">
        <f>L94+P94+T94+X94</f>
        <v/>
      </c>
      <c r="I94" s="7">
        <f>J94/37</f>
        <v/>
      </c>
      <c r="J94" s="6" t="n">
        <v>35</v>
      </c>
      <c r="K94" s="6" t="n">
        <v>0</v>
      </c>
      <c r="L94" s="6" t="n">
        <v>2</v>
      </c>
      <c r="M94" s="7">
        <f>N94/9</f>
        <v/>
      </c>
      <c r="N94" s="6" t="n">
        <v>7</v>
      </c>
      <c r="O94" s="6" t="n">
        <v>2</v>
      </c>
      <c r="P94" s="6" t="n">
        <v>0</v>
      </c>
      <c r="Q94" s="7">
        <f>R94/11</f>
        <v/>
      </c>
      <c r="R94" s="6" t="n">
        <v>6</v>
      </c>
      <c r="S94" s="6" t="n">
        <v>2</v>
      </c>
      <c r="T94" s="6" t="n">
        <v>3</v>
      </c>
      <c r="U94" s="7">
        <f>V94/14</f>
        <v/>
      </c>
      <c r="V94" s="6" t="n">
        <v>3</v>
      </c>
      <c r="W94" s="6" t="n">
        <v>9</v>
      </c>
      <c r="X94" s="6" t="n">
        <v>2</v>
      </c>
      <c r="Y94" s="8" t="n">
        <v>20.39</v>
      </c>
      <c r="Z94" s="9" t="inlineStr">
        <is>
          <t>Success</t>
        </is>
      </c>
      <c r="AA94" s="2" t="inlineStr">
        <is>
          <t>2026-10-08 18:28:05</t>
        </is>
      </c>
    </row>
    <row r="95" ht="21.95" customHeight="1">
      <c r="A95" s="2" t="n">
        <v>94</v>
      </c>
      <c r="B95" s="31" t="inlineStr">
        <is>
          <t>http://www.workpointtv.com</t>
        </is>
      </c>
      <c r="C95" s="2" t="inlineStr">
        <is>
          <t>ข่าว-สื่อ</t>
        </is>
      </c>
      <c r="D95" s="4">
        <f>F95/71</f>
        <v/>
      </c>
      <c r="E95" s="5">
        <f>IF(D95&gt;=0.9,"ดีเยี่ยม",IF(D95&gt;=0.7,"ดี",IF(D95&gt;=0.5,"พอใช้","ต้องปรับปรุง")))</f>
        <v/>
      </c>
      <c r="F95" s="6">
        <f>J95+N95+R95+V95</f>
        <v/>
      </c>
      <c r="G95" s="6">
        <f>K95+O95+S95+W95</f>
        <v/>
      </c>
      <c r="H95" s="6">
        <f>L95+P95+T95+X95</f>
        <v/>
      </c>
      <c r="I95" s="7">
        <f>J95/37</f>
        <v/>
      </c>
      <c r="J95" s="6" t="n">
        <v>32</v>
      </c>
      <c r="K95" s="6" t="n">
        <v>5</v>
      </c>
      <c r="L95" s="6" t="n">
        <v>0</v>
      </c>
      <c r="M95" s="7">
        <f>N95/9</f>
        <v/>
      </c>
      <c r="N95" s="6" t="n">
        <v>8</v>
      </c>
      <c r="O95" s="6" t="n">
        <v>1</v>
      </c>
      <c r="P95" s="6" t="n">
        <v>0</v>
      </c>
      <c r="Q95" s="7">
        <f>R95/11</f>
        <v/>
      </c>
      <c r="R95" s="6" t="n">
        <v>7</v>
      </c>
      <c r="S95" s="6" t="n">
        <v>1</v>
      </c>
      <c r="T95" s="6" t="n">
        <v>3</v>
      </c>
      <c r="U95" s="7">
        <f>V95/14</f>
        <v/>
      </c>
      <c r="V95" s="6" t="n">
        <v>4</v>
      </c>
      <c r="W95" s="6" t="n">
        <v>9</v>
      </c>
      <c r="X95" s="6" t="n">
        <v>1</v>
      </c>
      <c r="Y95" s="8" t="n">
        <v>46.38</v>
      </c>
      <c r="Z95" s="9" t="inlineStr">
        <is>
          <t>Success</t>
        </is>
      </c>
      <c r="AA95" s="2" t="inlineStr">
        <is>
          <t>2026-10-08 18:28:52</t>
        </is>
      </c>
    </row>
    <row r="96" ht="21.95" customHeight="1">
      <c r="A96" s="2" t="n">
        <v>95</v>
      </c>
      <c r="B96" s="31" t="inlineStr">
        <is>
          <t>http://thaipbsworld.com</t>
        </is>
      </c>
      <c r="C96" s="2" t="inlineStr">
        <is>
          <t>ข่าว-สื่อ</t>
        </is>
      </c>
      <c r="D96" s="10">
        <f>F96/71</f>
        <v/>
      </c>
      <c r="E96" s="11">
        <f>IF(D96&gt;=0.9,"ดีเยี่ยม",IF(D96&gt;=0.7,"ดี",IF(D96&gt;=0.5,"พอใช้","ต้องปรับปรุง")))</f>
        <v/>
      </c>
      <c r="F96" s="6">
        <f>J96+N96+R96+V96</f>
        <v/>
      </c>
      <c r="G96" s="6">
        <f>K96+O96+S96+W96</f>
        <v/>
      </c>
      <c r="H96" s="6">
        <f>L96+P96+T96+X96</f>
        <v/>
      </c>
      <c r="I96" s="7">
        <f>J96/37</f>
        <v/>
      </c>
      <c r="J96" s="6" t="n">
        <v>35</v>
      </c>
      <c r="K96" s="6" t="n">
        <v>1</v>
      </c>
      <c r="L96" s="6" t="n">
        <v>1</v>
      </c>
      <c r="M96" s="7">
        <f>N96/9</f>
        <v/>
      </c>
      <c r="N96" s="6" t="n">
        <v>7</v>
      </c>
      <c r="O96" s="6" t="n">
        <v>1</v>
      </c>
      <c r="P96" s="6" t="n">
        <v>1</v>
      </c>
      <c r="Q96" s="7">
        <f>R96/11</f>
        <v/>
      </c>
      <c r="R96" s="6" t="n">
        <v>4</v>
      </c>
      <c r="S96" s="6" t="n">
        <v>3</v>
      </c>
      <c r="T96" s="6" t="n">
        <v>4</v>
      </c>
      <c r="U96" s="7">
        <f>V96/14</f>
        <v/>
      </c>
      <c r="V96" s="6" t="n">
        <v>2</v>
      </c>
      <c r="W96" s="6" t="n">
        <v>12</v>
      </c>
      <c r="X96" s="6" t="n">
        <v>0</v>
      </c>
      <c r="Y96" s="8" t="n">
        <v>35.75</v>
      </c>
      <c r="Z96" s="9" t="inlineStr">
        <is>
          <t>Success</t>
        </is>
      </c>
      <c r="AA96" s="2" t="inlineStr">
        <is>
          <t>2026-10-08 18:29:27</t>
        </is>
      </c>
    </row>
    <row r="97" ht="21.95" customHeight="1">
      <c r="A97" s="2" t="n">
        <v>96</v>
      </c>
      <c r="B97" s="31" t="inlineStr">
        <is>
          <t>http://www.residences.in.th</t>
        </is>
      </c>
      <c r="C97" s="2" t="inlineStr">
        <is>
          <t>อสังหาริมทรัพย์-ก่อสร้าง</t>
        </is>
      </c>
      <c r="D97" s="4">
        <f>F97/71</f>
        <v/>
      </c>
      <c r="E97" s="5">
        <f>IF(D97&gt;=0.9,"ดีเยี่ยม",IF(D97&gt;=0.7,"ดี",IF(D97&gt;=0.5,"พอใช้","ต้องปรับปรุง")))</f>
        <v/>
      </c>
      <c r="F97" s="6">
        <f>J97+N97+R97+V97</f>
        <v/>
      </c>
      <c r="G97" s="6">
        <f>K97+O97+S97+W97</f>
        <v/>
      </c>
      <c r="H97" s="6">
        <f>L97+P97+T97+X97</f>
        <v/>
      </c>
      <c r="I97" s="7">
        <f>J97/37</f>
        <v/>
      </c>
      <c r="J97" s="6" t="n">
        <v>37</v>
      </c>
      <c r="K97" s="6" t="n">
        <v>0</v>
      </c>
      <c r="L97" s="6" t="n">
        <v>0</v>
      </c>
      <c r="M97" s="7">
        <f>N97/9</f>
        <v/>
      </c>
      <c r="N97" s="6" t="n">
        <v>8</v>
      </c>
      <c r="O97" s="6" t="n">
        <v>1</v>
      </c>
      <c r="P97" s="6" t="n">
        <v>0</v>
      </c>
      <c r="Q97" s="7">
        <f>R97/11</f>
        <v/>
      </c>
      <c r="R97" s="6" t="n">
        <v>6</v>
      </c>
      <c r="S97" s="6" t="n">
        <v>3</v>
      </c>
      <c r="T97" s="6" t="n">
        <v>2</v>
      </c>
      <c r="U97" s="7">
        <f>V97/14</f>
        <v/>
      </c>
      <c r="V97" s="6" t="n">
        <v>2</v>
      </c>
      <c r="W97" s="6" t="n">
        <v>11</v>
      </c>
      <c r="X97" s="6" t="n">
        <v>1</v>
      </c>
      <c r="Y97" s="8" t="n">
        <v>27.53</v>
      </c>
      <c r="Z97" s="9" t="inlineStr">
        <is>
          <t>Success</t>
        </is>
      </c>
      <c r="AA97" s="2" t="inlineStr">
        <is>
          <t>2026-10-08 18:29:55</t>
        </is>
      </c>
    </row>
    <row r="98" ht="21.95" customHeight="1">
      <c r="A98" s="2" t="n">
        <v>97</v>
      </c>
      <c r="B98" s="31" t="inlineStr">
        <is>
          <t>http://thainews.prd.go.th</t>
        </is>
      </c>
      <c r="C98" s="2" t="inlineStr">
        <is>
          <t>ข่าว-สื่อ</t>
        </is>
      </c>
      <c r="D98" s="4">
        <f>F98/71</f>
        <v/>
      </c>
      <c r="E98" s="5">
        <f>IF(D98&gt;=0.9,"ดีเยี่ยม",IF(D98&gt;=0.7,"ดี",IF(D98&gt;=0.5,"พอใช้","ต้องปรับปรุง")))</f>
        <v/>
      </c>
      <c r="F98" s="6">
        <f>J98+N98+R98+V98</f>
        <v/>
      </c>
      <c r="G98" s="6">
        <f>K98+O98+S98+W98</f>
        <v/>
      </c>
      <c r="H98" s="6">
        <f>L98+P98+T98+X98</f>
        <v/>
      </c>
      <c r="I98" s="7">
        <f>J98/37</f>
        <v/>
      </c>
      <c r="J98" s="6" t="n">
        <v>35</v>
      </c>
      <c r="K98" s="6" t="n">
        <v>1</v>
      </c>
      <c r="L98" s="6" t="n">
        <v>1</v>
      </c>
      <c r="M98" s="7">
        <f>N98/9</f>
        <v/>
      </c>
      <c r="N98" s="6" t="n">
        <v>6</v>
      </c>
      <c r="O98" s="6" t="n">
        <v>2</v>
      </c>
      <c r="P98" s="6" t="n">
        <v>1</v>
      </c>
      <c r="Q98" s="7">
        <f>R98/11</f>
        <v/>
      </c>
      <c r="R98" s="6" t="n">
        <v>7</v>
      </c>
      <c r="S98" s="6" t="n">
        <v>3</v>
      </c>
      <c r="T98" s="6" t="n">
        <v>1</v>
      </c>
      <c r="U98" s="7">
        <f>V98/14</f>
        <v/>
      </c>
      <c r="V98" s="6" t="n">
        <v>2</v>
      </c>
      <c r="W98" s="6" t="n">
        <v>12</v>
      </c>
      <c r="X98" s="6" t="n">
        <v>0</v>
      </c>
      <c r="Y98" s="8" t="n">
        <v>15.3</v>
      </c>
      <c r="Z98" s="9" t="inlineStr">
        <is>
          <t>Success</t>
        </is>
      </c>
      <c r="AA98" s="2" t="inlineStr">
        <is>
          <t>2026-10-08 18:30:10</t>
        </is>
      </c>
    </row>
    <row r="99" ht="21.95" customHeight="1">
      <c r="A99" s="2" t="n">
        <v>98</v>
      </c>
      <c r="B99" s="31" t="inlineStr">
        <is>
          <t>http://www.flashfly.net</t>
        </is>
      </c>
      <c r="C99" s="2" t="inlineStr">
        <is>
          <t>มือถือ-พีดีเอ</t>
        </is>
      </c>
      <c r="D99" s="10">
        <f>F99/71</f>
        <v/>
      </c>
      <c r="E99" s="11">
        <f>IF(D99&gt;=0.9,"ดีเยี่ยม",IF(D99&gt;=0.7,"ดี",IF(D99&gt;=0.5,"พอใช้","ต้องปรับปรุง")))</f>
        <v/>
      </c>
      <c r="F99" s="6">
        <f>J99+N99+R99+V99</f>
        <v/>
      </c>
      <c r="G99" s="6">
        <f>K99+O99+S99+W99</f>
        <v/>
      </c>
      <c r="H99" s="6">
        <f>L99+P99+T99+X99</f>
        <v/>
      </c>
      <c r="I99" s="7">
        <f>J99/37</f>
        <v/>
      </c>
      <c r="J99" s="6" t="n">
        <v>34</v>
      </c>
      <c r="K99" s="6" t="n">
        <v>3</v>
      </c>
      <c r="L99" s="6" t="n">
        <v>0</v>
      </c>
      <c r="M99" s="7">
        <f>N99/9</f>
        <v/>
      </c>
      <c r="N99" s="6" t="n">
        <v>8</v>
      </c>
      <c r="O99" s="6" t="n">
        <v>1</v>
      </c>
      <c r="P99" s="6" t="n">
        <v>0</v>
      </c>
      <c r="Q99" s="7">
        <f>R99/11</f>
        <v/>
      </c>
      <c r="R99" s="6" t="n">
        <v>5</v>
      </c>
      <c r="S99" s="6" t="n">
        <v>3</v>
      </c>
      <c r="T99" s="6" t="n">
        <v>3</v>
      </c>
      <c r="U99" s="7">
        <f>V99/14</f>
        <v/>
      </c>
      <c r="V99" s="6" t="n">
        <v>2</v>
      </c>
      <c r="W99" s="6" t="n">
        <v>12</v>
      </c>
      <c r="X99" s="6" t="n">
        <v>0</v>
      </c>
      <c r="Y99" s="8" t="n">
        <v>23.47</v>
      </c>
      <c r="Z99" s="9" t="inlineStr">
        <is>
          <t>Success</t>
        </is>
      </c>
      <c r="AA99" s="2" t="inlineStr">
        <is>
          <t>2026-10-09 12:04:55</t>
        </is>
      </c>
    </row>
    <row r="100" ht="21.95" customHeight="1">
      <c r="A100" s="2" t="n">
        <v>99</v>
      </c>
      <c r="B100" s="31" t="inlineStr">
        <is>
          <t>http://true4u.com</t>
        </is>
      </c>
      <c r="C100" s="2" t="inlineStr">
        <is>
          <t>ข่าว-สื่อ</t>
        </is>
      </c>
      <c r="D100" s="4">
        <f>F100/71</f>
        <v/>
      </c>
      <c r="E100" s="5">
        <f>IF(D100&gt;=0.9,"ดีเยี่ยม",IF(D100&gt;=0.7,"ดี",IF(D100&gt;=0.5,"พอใช้","ต้องปรับปรุง")))</f>
        <v/>
      </c>
      <c r="F100" s="6">
        <f>J100+N100+R100+V100</f>
        <v/>
      </c>
      <c r="G100" s="6">
        <f>K100+O100+S100+W100</f>
        <v/>
      </c>
      <c r="H100" s="6">
        <f>L100+P100+T100+X100</f>
        <v/>
      </c>
      <c r="I100" s="7">
        <f>J100/37</f>
        <v/>
      </c>
      <c r="J100" s="6" t="n">
        <v>37</v>
      </c>
      <c r="K100" s="6" t="n">
        <v>0</v>
      </c>
      <c r="L100" s="6" t="n">
        <v>0</v>
      </c>
      <c r="M100" s="7">
        <f>N100/9</f>
        <v/>
      </c>
      <c r="N100" s="6" t="n">
        <v>8</v>
      </c>
      <c r="O100" s="6" t="n">
        <v>1</v>
      </c>
      <c r="P100" s="6" t="n">
        <v>0</v>
      </c>
      <c r="Q100" s="7">
        <f>R100/11</f>
        <v/>
      </c>
      <c r="R100" s="6" t="n">
        <v>7</v>
      </c>
      <c r="S100" s="6" t="n">
        <v>3</v>
      </c>
      <c r="T100" s="6" t="n">
        <v>1</v>
      </c>
      <c r="U100" s="7">
        <f>V100/14</f>
        <v/>
      </c>
      <c r="V100" s="6" t="n">
        <v>2</v>
      </c>
      <c r="W100" s="6" t="n">
        <v>12</v>
      </c>
      <c r="X100" s="6" t="n">
        <v>0</v>
      </c>
      <c r="Y100" s="8" t="n">
        <v>27.19</v>
      </c>
      <c r="Z100" s="9" t="inlineStr">
        <is>
          <t>Success</t>
        </is>
      </c>
      <c r="AA100" s="2" t="inlineStr">
        <is>
          <t>2026-10-08 18:31:02</t>
        </is>
      </c>
    </row>
    <row r="101" ht="21.95" customHeight="1">
      <c r="A101" s="2" t="n">
        <v>100</v>
      </c>
      <c r="B101" s="31" t="inlineStr">
        <is>
          <t>http://www.autoinfo.co.th</t>
        </is>
      </c>
      <c r="C101" s="2" t="inlineStr">
        <is>
          <t>ยานยนต์</t>
        </is>
      </c>
      <c r="D101" s="10">
        <f>F101/71</f>
        <v/>
      </c>
      <c r="E101" s="11">
        <f>IF(D101&gt;=0.9,"ดีเยี่ยม",IF(D101&gt;=0.7,"ดี",IF(D101&gt;=0.5,"พอใช้","ต้องปรับปรุง")))</f>
        <v/>
      </c>
      <c r="F101" s="6">
        <f>J101+N101+R101+V101</f>
        <v/>
      </c>
      <c r="G101" s="6">
        <f>K101+O101+S101+W101</f>
        <v/>
      </c>
      <c r="H101" s="6">
        <f>L101+P101+T101+X101</f>
        <v/>
      </c>
      <c r="I101" s="7">
        <f>J101/37</f>
        <v/>
      </c>
      <c r="J101" s="6" t="n">
        <v>33</v>
      </c>
      <c r="K101" s="6" t="n">
        <v>3</v>
      </c>
      <c r="L101" s="6" t="n">
        <v>1</v>
      </c>
      <c r="M101" s="7">
        <f>N101/9</f>
        <v/>
      </c>
      <c r="N101" s="6" t="n">
        <v>7</v>
      </c>
      <c r="O101" s="6" t="n">
        <v>2</v>
      </c>
      <c r="P101" s="6" t="n">
        <v>0</v>
      </c>
      <c r="Q101" s="7">
        <f>R101/11</f>
        <v/>
      </c>
      <c r="R101" s="6" t="n">
        <v>3</v>
      </c>
      <c r="S101" s="6" t="n">
        <v>4</v>
      </c>
      <c r="T101" s="6" t="n">
        <v>4</v>
      </c>
      <c r="U101" s="7">
        <f>V101/14</f>
        <v/>
      </c>
      <c r="V101" s="6" t="n">
        <v>2</v>
      </c>
      <c r="W101" s="6" t="n">
        <v>12</v>
      </c>
      <c r="X101" s="6" t="n">
        <v>0</v>
      </c>
      <c r="Y101" s="8" t="n">
        <v>22.69</v>
      </c>
      <c r="Z101" s="9" t="inlineStr">
        <is>
          <t>Success</t>
        </is>
      </c>
      <c r="AA101" s="2" t="inlineStr">
        <is>
          <t>2026-10-08 18:31:24</t>
        </is>
      </c>
    </row>
    <row r="102" ht="21.95" customHeight="1">
      <c r="A102" s="2" t="n">
        <v>101</v>
      </c>
      <c r="B102" s="31" t="inlineStr">
        <is>
          <t>http://www.library.parliament.go.th</t>
        </is>
      </c>
      <c r="C102" s="2" t="inlineStr">
        <is>
          <t>การศึกษา</t>
        </is>
      </c>
      <c r="D102" s="25">
        <f>F102/71</f>
        <v/>
      </c>
      <c r="E102" s="26">
        <f>IF(D102&gt;=0.9,"ดีเยี่ยม",IF(D102&gt;=0.7,"ดี",IF(D102&gt;=0.5,"พอใช้","ต้องปรับปรุง")))</f>
        <v/>
      </c>
      <c r="F102" s="6">
        <f>J102+N102+R102+V102</f>
        <v/>
      </c>
      <c r="G102" s="6">
        <f>K102+O102+S102+W102</f>
        <v/>
      </c>
      <c r="H102" s="6">
        <f>L102+P102+T102+X102</f>
        <v/>
      </c>
      <c r="I102" s="7">
        <f>J102/37</f>
        <v/>
      </c>
      <c r="J102" s="6" t="n">
        <v>0</v>
      </c>
      <c r="K102" s="6" t="n">
        <v>37</v>
      </c>
      <c r="L102" s="6" t="n">
        <v>0</v>
      </c>
      <c r="M102" s="7">
        <f>N102/9</f>
        <v/>
      </c>
      <c r="N102" s="6" t="n">
        <v>0</v>
      </c>
      <c r="O102" s="6" t="n">
        <v>9</v>
      </c>
      <c r="P102" s="6" t="n">
        <v>0</v>
      </c>
      <c r="Q102" s="7">
        <f>R102/11</f>
        <v/>
      </c>
      <c r="R102" s="6" t="n">
        <v>0</v>
      </c>
      <c r="S102" s="6" t="n">
        <v>11</v>
      </c>
      <c r="T102" s="6" t="n">
        <v>0</v>
      </c>
      <c r="U102" s="7">
        <f>V102/14</f>
        <v/>
      </c>
      <c r="V102" s="6" t="n">
        <v>0</v>
      </c>
      <c r="W102" s="6" t="n">
        <v>14</v>
      </c>
      <c r="X102" s="6" t="n">
        <v>0</v>
      </c>
      <c r="Y102" s="8" t="n">
        <v>0.04</v>
      </c>
      <c r="Z102" s="27" t="inlineStr">
        <is>
          <t>Failed (DNS Error (หาเว็บไม่เจอ))</t>
        </is>
      </c>
      <c r="AA102" s="2" t="inlineStr">
        <is>
          <t>2026-10-21 00:13:37</t>
        </is>
      </c>
    </row>
    <row r="103" ht="21.95" customHeight="1">
      <c r="A103" s="2" t="n">
        <v>102</v>
      </c>
      <c r="B103" s="31" t="inlineStr">
        <is>
          <t>http://www.ops.moc.go.th</t>
        </is>
      </c>
      <c r="C103" s="2" t="inlineStr">
        <is>
          <t>หน่วยงานราชการ,องค์กร</t>
        </is>
      </c>
      <c r="D103" s="4">
        <f>F103/71</f>
        <v/>
      </c>
      <c r="E103" s="5">
        <f>IF(D103&gt;=0.9,"ดีเยี่ยม",IF(D103&gt;=0.7,"ดี",IF(D103&gt;=0.5,"พอใช้","ต้องปรับปรุง")))</f>
        <v/>
      </c>
      <c r="F103" s="6">
        <f>J103+N103+R103+V103</f>
        <v/>
      </c>
      <c r="G103" s="6">
        <f>K103+O103+S103+W103</f>
        <v/>
      </c>
      <c r="H103" s="6">
        <f>L103+P103+T103+X103</f>
        <v/>
      </c>
      <c r="I103" s="7">
        <f>J103/37</f>
        <v/>
      </c>
      <c r="J103" s="6" t="n">
        <v>35</v>
      </c>
      <c r="K103" s="6" t="n">
        <v>2</v>
      </c>
      <c r="L103" s="6" t="n">
        <v>0</v>
      </c>
      <c r="M103" s="7">
        <f>N103/9</f>
        <v/>
      </c>
      <c r="N103" s="6" t="n">
        <v>6</v>
      </c>
      <c r="O103" s="6" t="n">
        <v>3</v>
      </c>
      <c r="P103" s="6" t="n">
        <v>0</v>
      </c>
      <c r="Q103" s="7">
        <f>R103/11</f>
        <v/>
      </c>
      <c r="R103" s="6" t="n">
        <v>5</v>
      </c>
      <c r="S103" s="6" t="n">
        <v>2</v>
      </c>
      <c r="T103" s="6" t="n">
        <v>4</v>
      </c>
      <c r="U103" s="7">
        <f>V103/14</f>
        <v/>
      </c>
      <c r="V103" s="6" t="n">
        <v>5</v>
      </c>
      <c r="W103" s="6" t="n">
        <v>8</v>
      </c>
      <c r="X103" s="6" t="n">
        <v>1</v>
      </c>
      <c r="Y103" s="8" t="n">
        <v>29.28</v>
      </c>
      <c r="Z103" s="9" t="inlineStr">
        <is>
          <t>Success</t>
        </is>
      </c>
      <c r="AA103" s="2" t="inlineStr">
        <is>
          <t>2026-10-08 18:32:29</t>
        </is>
      </c>
    </row>
    <row r="104" ht="21.95" customHeight="1">
      <c r="A104" s="2" t="n">
        <v>103</v>
      </c>
      <c r="B104" s="31" t="inlineStr">
        <is>
          <t>http://www.baanfinder.com</t>
        </is>
      </c>
      <c r="C104" s="2" t="inlineStr">
        <is>
          <t>อสังหาริมทรัพย์-ก่อสร้าง</t>
        </is>
      </c>
      <c r="D104" s="4">
        <f>F104/71</f>
        <v/>
      </c>
      <c r="E104" s="5">
        <f>IF(D104&gt;=0.9,"ดีเยี่ยม",IF(D104&gt;=0.7,"ดี",IF(D104&gt;=0.5,"พอใช้","ต้องปรับปรุง")))</f>
        <v/>
      </c>
      <c r="F104" s="6">
        <f>J104+N104+R104+V104</f>
        <v/>
      </c>
      <c r="G104" s="6">
        <f>K104+O104+S104+W104</f>
        <v/>
      </c>
      <c r="H104" s="6">
        <f>L104+P104+T104+X104</f>
        <v/>
      </c>
      <c r="I104" s="7">
        <f>J104/37</f>
        <v/>
      </c>
      <c r="J104" s="6" t="n">
        <v>37</v>
      </c>
      <c r="K104" s="6" t="n">
        <v>0</v>
      </c>
      <c r="L104" s="6" t="n">
        <v>0</v>
      </c>
      <c r="M104" s="7">
        <f>N104/9</f>
        <v/>
      </c>
      <c r="N104" s="6" t="n">
        <v>7</v>
      </c>
      <c r="O104" s="6" t="n">
        <v>2</v>
      </c>
      <c r="P104" s="6" t="n">
        <v>0</v>
      </c>
      <c r="Q104" s="7">
        <f>R104/11</f>
        <v/>
      </c>
      <c r="R104" s="6" t="n">
        <v>4</v>
      </c>
      <c r="S104" s="6" t="n">
        <v>3</v>
      </c>
      <c r="T104" s="6" t="n">
        <v>4</v>
      </c>
      <c r="U104" s="7">
        <f>V104/14</f>
        <v/>
      </c>
      <c r="V104" s="6" t="n">
        <v>3</v>
      </c>
      <c r="W104" s="6" t="n">
        <v>8</v>
      </c>
      <c r="X104" s="6" t="n">
        <v>3</v>
      </c>
      <c r="Y104" s="8" t="n">
        <v>22.82</v>
      </c>
      <c r="Z104" s="9" t="inlineStr">
        <is>
          <t>Success</t>
        </is>
      </c>
      <c r="AA104" s="2" t="inlineStr">
        <is>
          <t>2026-10-08 18:32:52</t>
        </is>
      </c>
    </row>
    <row r="105" ht="21.95" customHeight="1">
      <c r="A105" s="2" t="n">
        <v>104</v>
      </c>
      <c r="B105" s="31" t="inlineStr">
        <is>
          <t>http://www.mreport.co.th</t>
        </is>
      </c>
      <c r="C105" s="2" t="inlineStr">
        <is>
          <t>ข่าว-สื่อ</t>
        </is>
      </c>
      <c r="D105" s="10">
        <f>F105/71</f>
        <v/>
      </c>
      <c r="E105" s="11">
        <f>IF(D105&gt;=0.9,"ดีเยี่ยม",IF(D105&gt;=0.7,"ดี",IF(D105&gt;=0.5,"พอใช้","ต้องปรับปรุง")))</f>
        <v/>
      </c>
      <c r="F105" s="6">
        <f>J105+N105+R105+V105</f>
        <v/>
      </c>
      <c r="G105" s="6">
        <f>K105+O105+S105+W105</f>
        <v/>
      </c>
      <c r="H105" s="6">
        <f>L105+P105+T105+X105</f>
        <v/>
      </c>
      <c r="I105" s="7">
        <f>J105/37</f>
        <v/>
      </c>
      <c r="J105" s="6" t="n">
        <v>33</v>
      </c>
      <c r="K105" s="6" t="n">
        <v>2</v>
      </c>
      <c r="L105" s="6" t="n">
        <v>2</v>
      </c>
      <c r="M105" s="7">
        <f>N105/9</f>
        <v/>
      </c>
      <c r="N105" s="6" t="n">
        <v>7</v>
      </c>
      <c r="O105" s="6" t="n">
        <v>2</v>
      </c>
      <c r="P105" s="6" t="n">
        <v>0</v>
      </c>
      <c r="Q105" s="7">
        <f>R105/11</f>
        <v/>
      </c>
      <c r="R105" s="6" t="n">
        <v>5</v>
      </c>
      <c r="S105" s="6" t="n">
        <v>3</v>
      </c>
      <c r="T105" s="6" t="n">
        <v>3</v>
      </c>
      <c r="U105" s="7">
        <f>V105/14</f>
        <v/>
      </c>
      <c r="V105" s="6" t="n">
        <v>2</v>
      </c>
      <c r="W105" s="6" t="n">
        <v>11</v>
      </c>
      <c r="X105" s="6" t="n">
        <v>1</v>
      </c>
      <c r="Y105" s="8" t="n">
        <v>22.65</v>
      </c>
      <c r="Z105" s="9" t="inlineStr">
        <is>
          <t>Success</t>
        </is>
      </c>
      <c r="AA105" s="2" t="inlineStr">
        <is>
          <t>2026-10-08 18:33:15</t>
        </is>
      </c>
    </row>
    <row r="106" ht="21.95" customHeight="1">
      <c r="A106" s="2" t="n">
        <v>105</v>
      </c>
      <c r="B106" s="31" t="inlineStr">
        <is>
          <t>http://www.orst.go.th</t>
        </is>
      </c>
      <c r="C106" s="2" t="inlineStr">
        <is>
          <t>หน่วยงานราชการ,องค์กร</t>
        </is>
      </c>
      <c r="D106" s="10">
        <f>F106/71</f>
        <v/>
      </c>
      <c r="E106" s="11">
        <f>IF(D106&gt;=0.9,"ดีเยี่ยม",IF(D106&gt;=0.7,"ดี",IF(D106&gt;=0.5,"พอใช้","ต้องปรับปรุง")))</f>
        <v/>
      </c>
      <c r="F106" s="6">
        <f>J106+N106+R106+V106</f>
        <v/>
      </c>
      <c r="G106" s="6">
        <f>K106+O106+S106+W106</f>
        <v/>
      </c>
      <c r="H106" s="6">
        <f>L106+P106+T106+X106</f>
        <v/>
      </c>
      <c r="I106" s="7">
        <f>J106/37</f>
        <v/>
      </c>
      <c r="J106" s="6" t="n">
        <v>34</v>
      </c>
      <c r="K106" s="6" t="n">
        <v>3</v>
      </c>
      <c r="L106" s="6" t="n">
        <v>0</v>
      </c>
      <c r="M106" s="7">
        <f>N106/9</f>
        <v/>
      </c>
      <c r="N106" s="6" t="n">
        <v>7</v>
      </c>
      <c r="O106" s="6" t="n">
        <v>2</v>
      </c>
      <c r="P106" s="6" t="n">
        <v>0</v>
      </c>
      <c r="Q106" s="7">
        <f>R106/11</f>
        <v/>
      </c>
      <c r="R106" s="6" t="n">
        <v>4</v>
      </c>
      <c r="S106" s="6" t="n">
        <v>4</v>
      </c>
      <c r="T106" s="6" t="n">
        <v>3</v>
      </c>
      <c r="U106" s="7">
        <f>V106/14</f>
        <v/>
      </c>
      <c r="V106" s="6" t="n">
        <v>1</v>
      </c>
      <c r="W106" s="6" t="n">
        <v>12</v>
      </c>
      <c r="X106" s="6" t="n">
        <v>1</v>
      </c>
      <c r="Y106" s="8" t="n">
        <v>39.32</v>
      </c>
      <c r="Z106" s="9" t="inlineStr">
        <is>
          <t>Success</t>
        </is>
      </c>
      <c r="AA106" s="2" t="inlineStr">
        <is>
          <t>2026-10-08 18:33:54</t>
        </is>
      </c>
    </row>
    <row r="107" ht="21.95" customHeight="1">
      <c r="A107" s="2" t="n">
        <v>106</v>
      </c>
      <c r="B107" s="31" t="inlineStr">
        <is>
          <t>http://www.thaihealth.or.th</t>
        </is>
      </c>
      <c r="C107" s="2" t="inlineStr">
        <is>
          <t>สุขภาพ</t>
        </is>
      </c>
      <c r="D107" s="4">
        <f>F107/71</f>
        <v/>
      </c>
      <c r="E107" s="5">
        <f>IF(D107&gt;=0.9,"ดีเยี่ยม",IF(D107&gt;=0.7,"ดี",IF(D107&gt;=0.5,"พอใช้","ต้องปรับปรุง")))</f>
        <v/>
      </c>
      <c r="F107" s="6">
        <f>J107+N107+R107+V107</f>
        <v/>
      </c>
      <c r="G107" s="6">
        <f>K107+O107+S107+W107</f>
        <v/>
      </c>
      <c r="H107" s="6">
        <f>L107+P107+T107+X107</f>
        <v/>
      </c>
      <c r="I107" s="7">
        <f>J107/37</f>
        <v/>
      </c>
      <c r="J107" s="6" t="n">
        <v>35</v>
      </c>
      <c r="K107" s="6" t="n">
        <v>1</v>
      </c>
      <c r="L107" s="6" t="n">
        <v>1</v>
      </c>
      <c r="M107" s="7">
        <f>N107/9</f>
        <v/>
      </c>
      <c r="N107" s="6" t="n">
        <v>7</v>
      </c>
      <c r="O107" s="6" t="n">
        <v>1</v>
      </c>
      <c r="P107" s="6" t="n">
        <v>1</v>
      </c>
      <c r="Q107" s="7">
        <f>R107/11</f>
        <v/>
      </c>
      <c r="R107" s="6" t="n">
        <v>5</v>
      </c>
      <c r="S107" s="6" t="n">
        <v>2</v>
      </c>
      <c r="T107" s="6" t="n">
        <v>4</v>
      </c>
      <c r="U107" s="7">
        <f>V107/14</f>
        <v/>
      </c>
      <c r="V107" s="6" t="n">
        <v>4</v>
      </c>
      <c r="W107" s="6" t="n">
        <v>9</v>
      </c>
      <c r="X107" s="6" t="n">
        <v>1</v>
      </c>
      <c r="Y107" s="8" t="n">
        <v>18.25</v>
      </c>
      <c r="Z107" s="9" t="inlineStr">
        <is>
          <t>Success</t>
        </is>
      </c>
      <c r="AA107" s="2" t="inlineStr">
        <is>
          <t>2026-10-08 18:34:12</t>
        </is>
      </c>
    </row>
    <row r="108" ht="21.95" customHeight="1">
      <c r="A108" s="2" t="n">
        <v>107</v>
      </c>
      <c r="B108" s="31" t="inlineStr">
        <is>
          <t>http://www.admincourt.go.th</t>
        </is>
      </c>
      <c r="C108" s="2" t="inlineStr">
        <is>
          <t>หน่วยงานราชการ,องค์กร</t>
        </is>
      </c>
      <c r="D108" s="4">
        <f>F108/71</f>
        <v/>
      </c>
      <c r="E108" s="5">
        <f>IF(D108&gt;=0.9,"ดีเยี่ยม",IF(D108&gt;=0.7,"ดี",IF(D108&gt;=0.5,"พอใช้","ต้องปรับปรุง")))</f>
        <v/>
      </c>
      <c r="F108" s="6">
        <f>J108+N108+R108+V108</f>
        <v/>
      </c>
      <c r="G108" s="6">
        <f>K108+O108+S108+W108</f>
        <v/>
      </c>
      <c r="H108" s="6">
        <f>L108+P108+T108+X108</f>
        <v/>
      </c>
      <c r="I108" s="7">
        <f>J108/37</f>
        <v/>
      </c>
      <c r="J108" s="6" t="n">
        <v>37</v>
      </c>
      <c r="K108" s="6" t="n">
        <v>0</v>
      </c>
      <c r="L108" s="6" t="n">
        <v>0</v>
      </c>
      <c r="M108" s="7">
        <f>N108/9</f>
        <v/>
      </c>
      <c r="N108" s="6" t="n">
        <v>6</v>
      </c>
      <c r="O108" s="6" t="n">
        <v>1</v>
      </c>
      <c r="P108" s="6" t="n">
        <v>2</v>
      </c>
      <c r="Q108" s="7">
        <f>R108/11</f>
        <v/>
      </c>
      <c r="R108" s="6" t="n">
        <v>4</v>
      </c>
      <c r="S108" s="6" t="n">
        <v>3</v>
      </c>
      <c r="T108" s="6" t="n">
        <v>4</v>
      </c>
      <c r="U108" s="7">
        <f>V108/14</f>
        <v/>
      </c>
      <c r="V108" s="6" t="n">
        <v>3</v>
      </c>
      <c r="W108" s="6" t="n">
        <v>11</v>
      </c>
      <c r="X108" s="6" t="n">
        <v>0</v>
      </c>
      <c r="Y108" s="8" t="n">
        <v>15.33</v>
      </c>
      <c r="Z108" s="9" t="inlineStr">
        <is>
          <t>Success</t>
        </is>
      </c>
      <c r="AA108" s="2" t="inlineStr">
        <is>
          <t>2026-10-08 18:34:28</t>
        </is>
      </c>
    </row>
    <row r="109" ht="21.95" customHeight="1">
      <c r="A109" s="2" t="n">
        <v>108</v>
      </c>
      <c r="B109" s="31" t="inlineStr">
        <is>
          <t>http://www4.fisheries.go.th</t>
        </is>
      </c>
      <c r="C109" s="2" t="inlineStr">
        <is>
          <t>หน่วยงานราชการ,องค์กร</t>
        </is>
      </c>
      <c r="D109" s="4">
        <f>F109/71</f>
        <v/>
      </c>
      <c r="E109" s="5">
        <f>IF(D109&gt;=0.9,"ดีเยี่ยม",IF(D109&gt;=0.7,"ดี",IF(D109&gt;=0.5,"พอใช้","ต้องปรับปรุง")))</f>
        <v/>
      </c>
      <c r="F109" s="6">
        <f>J109+N109+R109+V109</f>
        <v/>
      </c>
      <c r="G109" s="6">
        <f>K109+O109+S109+W109</f>
        <v/>
      </c>
      <c r="H109" s="6">
        <f>L109+P109+T109+X109</f>
        <v/>
      </c>
      <c r="I109" s="7">
        <f>J109/37</f>
        <v/>
      </c>
      <c r="J109" s="6" t="n">
        <v>34</v>
      </c>
      <c r="K109" s="6" t="n">
        <v>3</v>
      </c>
      <c r="L109" s="6" t="n">
        <v>0</v>
      </c>
      <c r="M109" s="7">
        <f>N109/9</f>
        <v/>
      </c>
      <c r="N109" s="6" t="n">
        <v>8</v>
      </c>
      <c r="O109" s="6" t="n">
        <v>1</v>
      </c>
      <c r="P109" s="6" t="n">
        <v>0</v>
      </c>
      <c r="Q109" s="7">
        <f>R109/11</f>
        <v/>
      </c>
      <c r="R109" s="6" t="n">
        <v>9</v>
      </c>
      <c r="S109" s="6" t="n">
        <v>2</v>
      </c>
      <c r="T109" s="6" t="n">
        <v>0</v>
      </c>
      <c r="U109" s="7">
        <f>V109/14</f>
        <v/>
      </c>
      <c r="V109" s="6" t="n">
        <v>3</v>
      </c>
      <c r="W109" s="6" t="n">
        <v>10</v>
      </c>
      <c r="X109" s="6" t="n">
        <v>1</v>
      </c>
      <c r="Y109" s="8" t="n">
        <v>15.3</v>
      </c>
      <c r="Z109" s="9" t="inlineStr">
        <is>
          <t>Success</t>
        </is>
      </c>
      <c r="AA109" s="2" t="inlineStr">
        <is>
          <t>2026-10-09 12:05:45</t>
        </is>
      </c>
    </row>
    <row r="110" ht="21.95" customHeight="1">
      <c r="A110" s="2" t="n">
        <v>109</v>
      </c>
      <c r="B110" s="31" t="inlineStr">
        <is>
          <t>http://www.moc.go.th</t>
        </is>
      </c>
      <c r="C110" s="2" t="inlineStr">
        <is>
          <t>หน่วยงานราชการ,องค์กร</t>
        </is>
      </c>
      <c r="D110" s="4">
        <f>F110/71</f>
        <v/>
      </c>
      <c r="E110" s="5">
        <f>IF(D110&gt;=0.9,"ดีเยี่ยม",IF(D110&gt;=0.7,"ดี",IF(D110&gt;=0.5,"พอใช้","ต้องปรับปรุง")))</f>
        <v/>
      </c>
      <c r="F110" s="6">
        <f>J110+N110+R110+V110</f>
        <v/>
      </c>
      <c r="G110" s="6">
        <f>K110+O110+S110+W110</f>
        <v/>
      </c>
      <c r="H110" s="6">
        <f>L110+P110+T110+X110</f>
        <v/>
      </c>
      <c r="I110" s="7">
        <f>J110/37</f>
        <v/>
      </c>
      <c r="J110" s="6" t="n">
        <v>35</v>
      </c>
      <c r="K110" s="6" t="n">
        <v>2</v>
      </c>
      <c r="L110" s="6" t="n">
        <v>0</v>
      </c>
      <c r="M110" s="7">
        <f>N110/9</f>
        <v/>
      </c>
      <c r="N110" s="6" t="n">
        <v>6</v>
      </c>
      <c r="O110" s="6" t="n">
        <v>3</v>
      </c>
      <c r="P110" s="6" t="n">
        <v>0</v>
      </c>
      <c r="Q110" s="7">
        <f>R110/11</f>
        <v/>
      </c>
      <c r="R110" s="6" t="n">
        <v>5</v>
      </c>
      <c r="S110" s="6" t="n">
        <v>2</v>
      </c>
      <c r="T110" s="6" t="n">
        <v>4</v>
      </c>
      <c r="U110" s="7">
        <f>V110/14</f>
        <v/>
      </c>
      <c r="V110" s="6" t="n">
        <v>7</v>
      </c>
      <c r="W110" s="6" t="n">
        <v>6</v>
      </c>
      <c r="X110" s="6" t="n">
        <v>1</v>
      </c>
      <c r="Y110" s="8" t="n">
        <v>49.22</v>
      </c>
      <c r="Z110" s="9" t="inlineStr">
        <is>
          <t>Success</t>
        </is>
      </c>
      <c r="AA110" s="2" t="inlineStr">
        <is>
          <t>2026-10-08 18:35:32</t>
        </is>
      </c>
    </row>
    <row r="111" ht="21.95" customHeight="1">
      <c r="A111" s="2" t="n">
        <v>110</v>
      </c>
      <c r="B111" s="31" t="inlineStr">
        <is>
          <t>http://healthserv.net</t>
        </is>
      </c>
      <c r="C111" s="2" t="inlineStr">
        <is>
          <t>สุขภาพ</t>
        </is>
      </c>
      <c r="D111" s="4">
        <f>F111/71</f>
        <v/>
      </c>
      <c r="E111" s="5">
        <f>IF(D111&gt;=0.9,"ดีเยี่ยม",IF(D111&gt;=0.7,"ดี",IF(D111&gt;=0.5,"พอใช้","ต้องปรับปรุง")))</f>
        <v/>
      </c>
      <c r="F111" s="6">
        <f>J111+N111+R111+V111</f>
        <v/>
      </c>
      <c r="G111" s="6">
        <f>K111+O111+S111+W111</f>
        <v/>
      </c>
      <c r="H111" s="6">
        <f>L111+P111+T111+X111</f>
        <v/>
      </c>
      <c r="I111" s="7">
        <f>J111/37</f>
        <v/>
      </c>
      <c r="J111" s="6" t="n">
        <v>35</v>
      </c>
      <c r="K111" s="6" t="n">
        <v>2</v>
      </c>
      <c r="L111" s="6" t="n">
        <v>0</v>
      </c>
      <c r="M111" s="7">
        <f>N111/9</f>
        <v/>
      </c>
      <c r="N111" s="6" t="n">
        <v>7</v>
      </c>
      <c r="O111" s="6" t="n">
        <v>1</v>
      </c>
      <c r="P111" s="6" t="n">
        <v>1</v>
      </c>
      <c r="Q111" s="7">
        <f>R111/11</f>
        <v/>
      </c>
      <c r="R111" s="6" t="n">
        <v>5</v>
      </c>
      <c r="S111" s="6" t="n">
        <v>2</v>
      </c>
      <c r="T111" s="6" t="n">
        <v>4</v>
      </c>
      <c r="U111" s="7">
        <f>V111/14</f>
        <v/>
      </c>
      <c r="V111" s="6" t="n">
        <v>5</v>
      </c>
      <c r="W111" s="6" t="n">
        <v>8</v>
      </c>
      <c r="X111" s="6" t="n">
        <v>1</v>
      </c>
      <c r="Y111" s="8" t="n">
        <v>22.67</v>
      </c>
      <c r="Z111" s="9" t="inlineStr">
        <is>
          <t>Success</t>
        </is>
      </c>
      <c r="AA111" s="2" t="inlineStr">
        <is>
          <t>2026-10-08 18:35:55</t>
        </is>
      </c>
    </row>
    <row r="112" ht="21.95" customHeight="1">
      <c r="A112" s="2" t="n">
        <v>111</v>
      </c>
      <c r="B112" s="31" t="inlineStr">
        <is>
          <t>http://www.rvp.co.th</t>
        </is>
      </c>
      <c r="C112" s="2" t="inlineStr">
        <is>
          <t>ธนาคาร-การเงิน</t>
        </is>
      </c>
      <c r="D112" s="4">
        <f>F112/71</f>
        <v/>
      </c>
      <c r="E112" s="5">
        <f>IF(D112&gt;=0.9,"ดีเยี่ยม",IF(D112&gt;=0.7,"ดี",IF(D112&gt;=0.5,"พอใช้","ต้องปรับปรุง")))</f>
        <v/>
      </c>
      <c r="F112" s="6">
        <f>J112+N112+R112+V112</f>
        <v/>
      </c>
      <c r="G112" s="6">
        <f>K112+O112+S112+W112</f>
        <v/>
      </c>
      <c r="H112" s="6">
        <f>L112+P112+T112+X112</f>
        <v/>
      </c>
      <c r="I112" s="7">
        <f>J112/37</f>
        <v/>
      </c>
      <c r="J112" s="6" t="n">
        <v>34</v>
      </c>
      <c r="K112" s="6" t="n">
        <v>2</v>
      </c>
      <c r="L112" s="6" t="n">
        <v>1</v>
      </c>
      <c r="M112" s="7">
        <f>N112/9</f>
        <v/>
      </c>
      <c r="N112" s="6" t="n">
        <v>9</v>
      </c>
      <c r="O112" s="6" t="n">
        <v>0</v>
      </c>
      <c r="P112" s="6" t="n">
        <v>0</v>
      </c>
      <c r="Q112" s="7">
        <f>R112/11</f>
        <v/>
      </c>
      <c r="R112" s="6" t="n">
        <v>8</v>
      </c>
      <c r="S112" s="6" t="n">
        <v>2</v>
      </c>
      <c r="T112" s="6" t="n">
        <v>1</v>
      </c>
      <c r="U112" s="7">
        <f>V112/14</f>
        <v/>
      </c>
      <c r="V112" s="6" t="n">
        <v>6</v>
      </c>
      <c r="W112" s="6" t="n">
        <v>8</v>
      </c>
      <c r="X112" s="6" t="n">
        <v>0</v>
      </c>
      <c r="Y112" s="8" t="n">
        <v>9.029999999999999</v>
      </c>
      <c r="Z112" s="9" t="inlineStr">
        <is>
          <t>Success</t>
        </is>
      </c>
      <c r="AA112" s="2" t="inlineStr">
        <is>
          <t>2026-10-08 18:36:04</t>
        </is>
      </c>
    </row>
    <row r="113" ht="21.95" customHeight="1">
      <c r="A113" s="2" t="n">
        <v>112</v>
      </c>
      <c r="B113" s="31" t="inlineStr">
        <is>
          <t>http://www.paiduaykan.com</t>
        </is>
      </c>
      <c r="C113" s="2" t="inlineStr">
        <is>
          <t>ท่องเที่ยว</t>
        </is>
      </c>
      <c r="D113" s="10">
        <f>F113/71</f>
        <v/>
      </c>
      <c r="E113" s="11">
        <f>IF(D113&gt;=0.9,"ดีเยี่ยม",IF(D113&gt;=0.7,"ดี",IF(D113&gt;=0.5,"พอใช้","ต้องปรับปรุง")))</f>
        <v/>
      </c>
      <c r="F113" s="6">
        <f>J113+N113+R113+V113</f>
        <v/>
      </c>
      <c r="G113" s="6">
        <f>K113+O113+S113+W113</f>
        <v/>
      </c>
      <c r="H113" s="6">
        <f>L113+P113+T113+X113</f>
        <v/>
      </c>
      <c r="I113" s="7">
        <f>J113/37</f>
        <v/>
      </c>
      <c r="J113" s="6" t="n">
        <v>33</v>
      </c>
      <c r="K113" s="6" t="n">
        <v>4</v>
      </c>
      <c r="L113" s="6" t="n">
        <v>0</v>
      </c>
      <c r="M113" s="7">
        <f>N113/9</f>
        <v/>
      </c>
      <c r="N113" s="6" t="n">
        <v>7</v>
      </c>
      <c r="O113" s="6" t="n">
        <v>2</v>
      </c>
      <c r="P113" s="6" t="n">
        <v>0</v>
      </c>
      <c r="Q113" s="7">
        <f>R113/11</f>
        <v/>
      </c>
      <c r="R113" s="6" t="n">
        <v>4</v>
      </c>
      <c r="S113" s="6" t="n">
        <v>3</v>
      </c>
      <c r="T113" s="6" t="n">
        <v>4</v>
      </c>
      <c r="U113" s="7">
        <f>V113/14</f>
        <v/>
      </c>
      <c r="V113" s="6" t="n">
        <v>2</v>
      </c>
      <c r="W113" s="6" t="n">
        <v>11</v>
      </c>
      <c r="X113" s="6" t="n">
        <v>1</v>
      </c>
      <c r="Y113" s="8" t="n">
        <v>21.73</v>
      </c>
      <c r="Z113" s="9" t="inlineStr">
        <is>
          <t>Success</t>
        </is>
      </c>
      <c r="AA113" s="2" t="inlineStr">
        <is>
          <t>2026-10-08 18:36:26</t>
        </is>
      </c>
    </row>
    <row r="114" ht="21.95" customHeight="1">
      <c r="A114" s="2" t="n">
        <v>113</v>
      </c>
      <c r="B114" s="31" t="inlineStr">
        <is>
          <t>http://www.condonewb.com</t>
        </is>
      </c>
      <c r="C114" s="2" t="inlineStr">
        <is>
          <t>อสังหาริมทรัพย์-ก่อสร้าง</t>
        </is>
      </c>
      <c r="D114" s="10">
        <f>F114/71</f>
        <v/>
      </c>
      <c r="E114" s="11">
        <f>IF(D114&gt;=0.9,"ดีเยี่ยม",IF(D114&gt;=0.7,"ดี",IF(D114&gt;=0.5,"พอใช้","ต้องปรับปรุง")))</f>
        <v/>
      </c>
      <c r="F114" s="6">
        <f>J114+N114+R114+V114</f>
        <v/>
      </c>
      <c r="G114" s="6">
        <f>K114+O114+S114+W114</f>
        <v/>
      </c>
      <c r="H114" s="6">
        <f>L114+P114+T114+X114</f>
        <v/>
      </c>
      <c r="I114" s="7">
        <f>J114/37</f>
        <v/>
      </c>
      <c r="J114" s="6" t="n">
        <v>36</v>
      </c>
      <c r="K114" s="6" t="n">
        <v>1</v>
      </c>
      <c r="L114" s="6" t="n">
        <v>0</v>
      </c>
      <c r="M114" s="7">
        <f>N114/9</f>
        <v/>
      </c>
      <c r="N114" s="6" t="n">
        <v>6</v>
      </c>
      <c r="O114" s="6" t="n">
        <v>2</v>
      </c>
      <c r="P114" s="6" t="n">
        <v>1</v>
      </c>
      <c r="Q114" s="7">
        <f>R114/11</f>
        <v/>
      </c>
      <c r="R114" s="6" t="n">
        <v>5</v>
      </c>
      <c r="S114" s="6" t="n">
        <v>3</v>
      </c>
      <c r="T114" s="6" t="n">
        <v>3</v>
      </c>
      <c r="U114" s="7">
        <f>V114/14</f>
        <v/>
      </c>
      <c r="V114" s="6" t="n">
        <v>2</v>
      </c>
      <c r="W114" s="6" t="n">
        <v>11</v>
      </c>
      <c r="X114" s="6" t="n">
        <v>1</v>
      </c>
      <c r="Y114" s="8" t="n">
        <v>29.39</v>
      </c>
      <c r="Z114" s="9" t="inlineStr">
        <is>
          <t>Success</t>
        </is>
      </c>
      <c r="AA114" s="2" t="inlineStr">
        <is>
          <t>2026-10-08 18:36:55</t>
        </is>
      </c>
    </row>
    <row r="115" ht="21.95" customHeight="1">
      <c r="A115" s="2" t="n">
        <v>114</v>
      </c>
      <c r="B115" s="31" t="inlineStr">
        <is>
          <t>http://www.nstda.or.th</t>
        </is>
      </c>
      <c r="C115" s="2" t="inlineStr">
        <is>
          <t>หน่วยงานราชการ,องค์กร</t>
        </is>
      </c>
      <c r="D115" s="10">
        <f>F115/71</f>
        <v/>
      </c>
      <c r="E115" s="11">
        <f>IF(D115&gt;=0.9,"ดีเยี่ยม",IF(D115&gt;=0.7,"ดี",IF(D115&gt;=0.5,"พอใช้","ต้องปรับปรุง")))</f>
        <v/>
      </c>
      <c r="F115" s="6">
        <f>J115+N115+R115+V115</f>
        <v/>
      </c>
      <c r="G115" s="6">
        <f>K115+O115+S115+W115</f>
        <v/>
      </c>
      <c r="H115" s="6">
        <f>L115+P115+T115+X115</f>
        <v/>
      </c>
      <c r="I115" s="7">
        <f>J115/37</f>
        <v/>
      </c>
      <c r="J115" s="6" t="n">
        <v>34</v>
      </c>
      <c r="K115" s="6" t="n">
        <v>1</v>
      </c>
      <c r="L115" s="6" t="n">
        <v>2</v>
      </c>
      <c r="M115" s="7">
        <f>N115/9</f>
        <v/>
      </c>
      <c r="N115" s="6" t="n">
        <v>7</v>
      </c>
      <c r="O115" s="6" t="n">
        <v>1</v>
      </c>
      <c r="P115" s="6" t="n">
        <v>1</v>
      </c>
      <c r="Q115" s="7">
        <f>R115/11</f>
        <v/>
      </c>
      <c r="R115" s="6" t="n">
        <v>4</v>
      </c>
      <c r="S115" s="6" t="n">
        <v>4</v>
      </c>
      <c r="T115" s="6" t="n">
        <v>3</v>
      </c>
      <c r="U115" s="7">
        <f>V115/14</f>
        <v/>
      </c>
      <c r="V115" s="6" t="n">
        <v>1</v>
      </c>
      <c r="W115" s="6" t="n">
        <v>13</v>
      </c>
      <c r="X115" s="6" t="n">
        <v>0</v>
      </c>
      <c r="Y115" s="8" t="n">
        <v>15.3</v>
      </c>
      <c r="Z115" s="9" t="inlineStr">
        <is>
          <t>Success</t>
        </is>
      </c>
      <c r="AA115" s="2" t="inlineStr">
        <is>
          <t>2026-10-08 18:37:10</t>
        </is>
      </c>
    </row>
    <row r="116" ht="21.95" customHeight="1">
      <c r="A116" s="2" t="n">
        <v>115</v>
      </c>
      <c r="B116" s="31" t="inlineStr">
        <is>
          <t>http://www.ldd.go.th</t>
        </is>
      </c>
      <c r="C116" s="2" t="inlineStr">
        <is>
          <t>หน่วยงานราชการ,องค์กร</t>
        </is>
      </c>
      <c r="D116" s="4">
        <f>F116/71</f>
        <v/>
      </c>
      <c r="E116" s="5">
        <f>IF(D116&gt;=0.9,"ดีเยี่ยม",IF(D116&gt;=0.7,"ดี",IF(D116&gt;=0.5,"พอใช้","ต้องปรับปรุง")))</f>
        <v/>
      </c>
      <c r="F116" s="6">
        <f>J116+N116+R116+V116</f>
        <v/>
      </c>
      <c r="G116" s="6">
        <f>K116+O116+S116+W116</f>
        <v/>
      </c>
      <c r="H116" s="6">
        <f>L116+P116+T116+X116</f>
        <v/>
      </c>
      <c r="I116" s="7">
        <f>J116/37</f>
        <v/>
      </c>
      <c r="J116" s="6" t="n">
        <v>36</v>
      </c>
      <c r="K116" s="6" t="n">
        <v>0</v>
      </c>
      <c r="L116" s="6" t="n">
        <v>1</v>
      </c>
      <c r="M116" s="7">
        <f>N116/9</f>
        <v/>
      </c>
      <c r="N116" s="6" t="n">
        <v>8</v>
      </c>
      <c r="O116" s="6" t="n">
        <v>1</v>
      </c>
      <c r="P116" s="6" t="n">
        <v>0</v>
      </c>
      <c r="Q116" s="7">
        <f>R116/11</f>
        <v/>
      </c>
      <c r="R116" s="6" t="n">
        <v>6</v>
      </c>
      <c r="S116" s="6" t="n">
        <v>1</v>
      </c>
      <c r="T116" s="6" t="n">
        <v>4</v>
      </c>
      <c r="U116" s="7">
        <f>V116/14</f>
        <v/>
      </c>
      <c r="V116" s="6" t="n">
        <v>3</v>
      </c>
      <c r="W116" s="6" t="n">
        <v>10</v>
      </c>
      <c r="X116" s="6" t="n">
        <v>1</v>
      </c>
      <c r="Y116" s="8" t="n">
        <v>15.35</v>
      </c>
      <c r="Z116" s="9" t="inlineStr">
        <is>
          <t>Success</t>
        </is>
      </c>
      <c r="AA116" s="2" t="inlineStr">
        <is>
          <t>2026-10-08 18:37:26</t>
        </is>
      </c>
    </row>
    <row r="117" ht="21.95" customHeight="1">
      <c r="A117" s="2" t="n">
        <v>116</v>
      </c>
      <c r="B117" s="31" t="inlineStr">
        <is>
          <t>http://feedforfuture.co</t>
        </is>
      </c>
      <c r="C117" s="2" t="inlineStr">
        <is>
          <t>ข่าว-สื่อ</t>
        </is>
      </c>
      <c r="D117" s="10">
        <f>F117/71</f>
        <v/>
      </c>
      <c r="E117" s="11">
        <f>IF(D117&gt;=0.9,"ดีเยี่ยม",IF(D117&gt;=0.7,"ดี",IF(D117&gt;=0.5,"พอใช้","ต้องปรับปรุง")))</f>
        <v/>
      </c>
      <c r="F117" s="6">
        <f>J117+N117+R117+V117</f>
        <v/>
      </c>
      <c r="G117" s="6">
        <f>K117+O117+S117+W117</f>
        <v/>
      </c>
      <c r="H117" s="6">
        <f>L117+P117+T117+X117</f>
        <v/>
      </c>
      <c r="I117" s="7">
        <f>J117/37</f>
        <v/>
      </c>
      <c r="J117" s="6" t="n">
        <v>33</v>
      </c>
      <c r="K117" s="6" t="n">
        <v>4</v>
      </c>
      <c r="L117" s="6" t="n">
        <v>0</v>
      </c>
      <c r="M117" s="7">
        <f>N117/9</f>
        <v/>
      </c>
      <c r="N117" s="6" t="n">
        <v>8</v>
      </c>
      <c r="O117" s="6" t="n">
        <v>1</v>
      </c>
      <c r="P117" s="6" t="n">
        <v>0</v>
      </c>
      <c r="Q117" s="7">
        <f>R117/11</f>
        <v/>
      </c>
      <c r="R117" s="6" t="n">
        <v>4</v>
      </c>
      <c r="S117" s="6" t="n">
        <v>3</v>
      </c>
      <c r="T117" s="6" t="n">
        <v>4</v>
      </c>
      <c r="U117" s="7">
        <f>V117/14</f>
        <v/>
      </c>
      <c r="V117" s="6" t="n">
        <v>2</v>
      </c>
      <c r="W117" s="6" t="n">
        <v>12</v>
      </c>
      <c r="X117" s="6" t="n">
        <v>0</v>
      </c>
      <c r="Y117" s="8" t="n">
        <v>21.66</v>
      </c>
      <c r="Z117" s="9" t="inlineStr">
        <is>
          <t>Success</t>
        </is>
      </c>
      <c r="AA117" s="2" t="inlineStr">
        <is>
          <t>2026-10-08 18:37:47</t>
        </is>
      </c>
    </row>
    <row r="118" ht="21.95" customHeight="1">
      <c r="A118" s="2" t="n">
        <v>117</v>
      </c>
      <c r="B118" s="31" t="inlineStr">
        <is>
          <t>http://www.redcross.or.th</t>
        </is>
      </c>
      <c r="C118" s="2" t="inlineStr">
        <is>
          <t>หน่วยงานราชการ,องค์กร</t>
        </is>
      </c>
      <c r="D118" s="4">
        <f>F118/71</f>
        <v/>
      </c>
      <c r="E118" s="5">
        <f>IF(D118&gt;=0.9,"ดีเยี่ยม",IF(D118&gt;=0.7,"ดี",IF(D118&gt;=0.5,"พอใช้","ต้องปรับปรุง")))</f>
        <v/>
      </c>
      <c r="F118" s="6">
        <f>J118+N118+R118+V118</f>
        <v/>
      </c>
      <c r="G118" s="6">
        <f>K118+O118+S118+W118</f>
        <v/>
      </c>
      <c r="H118" s="6">
        <f>L118+P118+T118+X118</f>
        <v/>
      </c>
      <c r="I118" s="7">
        <f>J118/37</f>
        <v/>
      </c>
      <c r="J118" s="6" t="n">
        <v>32</v>
      </c>
      <c r="K118" s="6" t="n">
        <v>4</v>
      </c>
      <c r="L118" s="6" t="n">
        <v>1</v>
      </c>
      <c r="M118" s="7">
        <f>N118/9</f>
        <v/>
      </c>
      <c r="N118" s="6" t="n">
        <v>8</v>
      </c>
      <c r="O118" s="6" t="n">
        <v>1</v>
      </c>
      <c r="P118" s="6" t="n">
        <v>0</v>
      </c>
      <c r="Q118" s="7">
        <f>R118/11</f>
        <v/>
      </c>
      <c r="R118" s="6" t="n">
        <v>6</v>
      </c>
      <c r="S118" s="6" t="n">
        <v>2</v>
      </c>
      <c r="T118" s="6" t="n">
        <v>3</v>
      </c>
      <c r="U118" s="7">
        <f>V118/14</f>
        <v/>
      </c>
      <c r="V118" s="6" t="n">
        <v>5</v>
      </c>
      <c r="W118" s="6" t="n">
        <v>8</v>
      </c>
      <c r="X118" s="6" t="n">
        <v>1</v>
      </c>
      <c r="Y118" s="8" t="n">
        <v>26.7</v>
      </c>
      <c r="Z118" s="9" t="inlineStr">
        <is>
          <t>Success</t>
        </is>
      </c>
      <c r="AA118" s="2" t="inlineStr">
        <is>
          <t>2026-10-08 18:38:14</t>
        </is>
      </c>
    </row>
    <row r="119" ht="21.95" customHeight="1">
      <c r="A119" s="2" t="n">
        <v>118</v>
      </c>
      <c r="B119" s="31" t="inlineStr">
        <is>
          <t>http://ebm.co.th</t>
        </is>
      </c>
      <c r="C119" s="2" t="inlineStr">
        <is>
          <t>ธุรกิจ</t>
        </is>
      </c>
      <c r="D119" s="10">
        <f>F119/71</f>
        <v/>
      </c>
      <c r="E119" s="11">
        <f>IF(D119&gt;=0.9,"ดีเยี่ยม",IF(D119&gt;=0.7,"ดี",IF(D119&gt;=0.5,"พอใช้","ต้องปรับปรุง")))</f>
        <v/>
      </c>
      <c r="F119" s="6">
        <f>J119+N119+R119+V119</f>
        <v/>
      </c>
      <c r="G119" s="6">
        <f>K119+O119+S119+W119</f>
        <v/>
      </c>
      <c r="H119" s="6">
        <f>L119+P119+T119+X119</f>
        <v/>
      </c>
      <c r="I119" s="7">
        <f>J119/37</f>
        <v/>
      </c>
      <c r="J119" s="6" t="n">
        <v>33</v>
      </c>
      <c r="K119" s="6" t="n">
        <v>3</v>
      </c>
      <c r="L119" s="6" t="n">
        <v>1</v>
      </c>
      <c r="M119" s="7">
        <f>N119/9</f>
        <v/>
      </c>
      <c r="N119" s="6" t="n">
        <v>9</v>
      </c>
      <c r="O119" s="6" t="n">
        <v>0</v>
      </c>
      <c r="P119" s="6" t="n">
        <v>0</v>
      </c>
      <c r="Q119" s="7">
        <f>R119/11</f>
        <v/>
      </c>
      <c r="R119" s="6" t="n">
        <v>4</v>
      </c>
      <c r="S119" s="6" t="n">
        <v>3</v>
      </c>
      <c r="T119" s="6" t="n">
        <v>4</v>
      </c>
      <c r="U119" s="7">
        <f>V119/14</f>
        <v/>
      </c>
      <c r="V119" s="6" t="n">
        <v>2</v>
      </c>
      <c r="W119" s="6" t="n">
        <v>12</v>
      </c>
      <c r="X119" s="6" t="n">
        <v>0</v>
      </c>
      <c r="Y119" s="8" t="n">
        <v>15.29</v>
      </c>
      <c r="Z119" s="9" t="inlineStr">
        <is>
          <t>Success</t>
        </is>
      </c>
      <c r="AA119" s="2" t="inlineStr">
        <is>
          <t>2026-10-08 18:38:29</t>
        </is>
      </c>
    </row>
    <row r="120" ht="21.95" customHeight="1">
      <c r="A120" s="2" t="n">
        <v>119</v>
      </c>
      <c r="B120" s="31" t="inlineStr">
        <is>
          <t>http://www.pharmacy.mahidol.ac.th</t>
        </is>
      </c>
      <c r="C120" s="2" t="inlineStr">
        <is>
          <t>การศึกษา</t>
        </is>
      </c>
      <c r="D120" s="10">
        <f>F120/71</f>
        <v/>
      </c>
      <c r="E120" s="11">
        <f>IF(D120&gt;=0.9,"ดีเยี่ยม",IF(D120&gt;=0.7,"ดี",IF(D120&gt;=0.5,"พอใช้","ต้องปรับปรุง")))</f>
        <v/>
      </c>
      <c r="F120" s="6">
        <f>J120+N120+R120+V120</f>
        <v/>
      </c>
      <c r="G120" s="6">
        <f>K120+O120+S120+W120</f>
        <v/>
      </c>
      <c r="H120" s="6">
        <f>L120+P120+T120+X120</f>
        <v/>
      </c>
      <c r="I120" s="7">
        <f>J120/37</f>
        <v/>
      </c>
      <c r="J120" s="6" t="n">
        <v>32</v>
      </c>
      <c r="K120" s="6" t="n">
        <v>5</v>
      </c>
      <c r="L120" s="6" t="n">
        <v>0</v>
      </c>
      <c r="M120" s="7">
        <f>N120/9</f>
        <v/>
      </c>
      <c r="N120" s="6" t="n">
        <v>7</v>
      </c>
      <c r="O120" s="6" t="n">
        <v>2</v>
      </c>
      <c r="P120" s="6" t="n">
        <v>0</v>
      </c>
      <c r="Q120" s="7">
        <f>R120/11</f>
        <v/>
      </c>
      <c r="R120" s="6" t="n">
        <v>5</v>
      </c>
      <c r="S120" s="6" t="n">
        <v>3</v>
      </c>
      <c r="T120" s="6" t="n">
        <v>3</v>
      </c>
      <c r="U120" s="7">
        <f>V120/14</f>
        <v/>
      </c>
      <c r="V120" s="6" t="n">
        <v>3</v>
      </c>
      <c r="W120" s="6" t="n">
        <v>11</v>
      </c>
      <c r="X120" s="6" t="n">
        <v>0</v>
      </c>
      <c r="Y120" s="8" t="n">
        <v>16.99</v>
      </c>
      <c r="Z120" s="9" t="inlineStr">
        <is>
          <t>Success</t>
        </is>
      </c>
      <c r="AA120" s="2" t="inlineStr">
        <is>
          <t>2026-10-08 18:38:46</t>
        </is>
      </c>
    </row>
    <row r="121" ht="21.95" customHeight="1">
      <c r="A121" s="2" t="n">
        <v>120</v>
      </c>
      <c r="B121" s="31" t="inlineStr">
        <is>
          <t>http://thailand.go.th</t>
        </is>
      </c>
      <c r="C121" s="2" t="inlineStr">
        <is>
          <t>หน่วยงานราชการ,องค์กร</t>
        </is>
      </c>
      <c r="D121" s="10">
        <f>F121/71</f>
        <v/>
      </c>
      <c r="E121" s="11">
        <f>IF(D121&gt;=0.9,"ดีเยี่ยม",IF(D121&gt;=0.7,"ดี",IF(D121&gt;=0.5,"พอใช้","ต้องปรับปรุง")))</f>
        <v/>
      </c>
      <c r="F121" s="6">
        <f>J121+N121+R121+V121</f>
        <v/>
      </c>
      <c r="G121" s="6">
        <f>K121+O121+S121+W121</f>
        <v/>
      </c>
      <c r="H121" s="6">
        <f>L121+P121+T121+X121</f>
        <v/>
      </c>
      <c r="I121" s="7">
        <f>J121/37</f>
        <v/>
      </c>
      <c r="J121" s="6" t="n">
        <v>32</v>
      </c>
      <c r="K121" s="6" t="n">
        <v>5</v>
      </c>
      <c r="L121" s="6" t="n">
        <v>0</v>
      </c>
      <c r="M121" s="7">
        <f>N121/9</f>
        <v/>
      </c>
      <c r="N121" s="6" t="n">
        <v>7</v>
      </c>
      <c r="O121" s="6" t="n">
        <v>2</v>
      </c>
      <c r="P121" s="6" t="n">
        <v>0</v>
      </c>
      <c r="Q121" s="7">
        <f>R121/11</f>
        <v/>
      </c>
      <c r="R121" s="6" t="n">
        <v>7</v>
      </c>
      <c r="S121" s="6" t="n">
        <v>3</v>
      </c>
      <c r="T121" s="6" t="n">
        <v>1</v>
      </c>
      <c r="U121" s="7">
        <f>V121/14</f>
        <v/>
      </c>
      <c r="V121" s="6" t="n">
        <v>3</v>
      </c>
      <c r="W121" s="6" t="n">
        <v>11</v>
      </c>
      <c r="X121" s="6" t="n">
        <v>0</v>
      </c>
      <c r="Y121" s="8" t="n">
        <v>14.44</v>
      </c>
      <c r="Z121" s="9" t="inlineStr">
        <is>
          <t>Success</t>
        </is>
      </c>
      <c r="AA121" s="2" t="inlineStr">
        <is>
          <t>2026-10-08 18:39:01</t>
        </is>
      </c>
    </row>
    <row r="122" ht="21.95" customHeight="1">
      <c r="A122" s="2" t="n">
        <v>121</v>
      </c>
      <c r="B122" s="31" t="inlineStr">
        <is>
          <t>http://www.motorexpo.co.th</t>
        </is>
      </c>
      <c r="C122" s="2" t="inlineStr">
        <is>
          <t>ยานยนต์</t>
        </is>
      </c>
      <c r="D122" s="10">
        <f>F122/71</f>
        <v/>
      </c>
      <c r="E122" s="11">
        <f>IF(D122&gt;=0.9,"ดีเยี่ยม",IF(D122&gt;=0.7,"ดี",IF(D122&gt;=0.5,"พอใช้","ต้องปรับปรุง")))</f>
        <v/>
      </c>
      <c r="F122" s="6">
        <f>J122+N122+R122+V122</f>
        <v/>
      </c>
      <c r="G122" s="6">
        <f>K122+O122+S122+W122</f>
        <v/>
      </c>
      <c r="H122" s="6">
        <f>L122+P122+T122+X122</f>
        <v/>
      </c>
      <c r="I122" s="7">
        <f>J122/37</f>
        <v/>
      </c>
      <c r="J122" s="6" t="n">
        <v>31</v>
      </c>
      <c r="K122" s="6" t="n">
        <v>6</v>
      </c>
      <c r="L122" s="6" t="n">
        <v>0</v>
      </c>
      <c r="M122" s="7">
        <f>N122/9</f>
        <v/>
      </c>
      <c r="N122" s="6" t="n">
        <v>7</v>
      </c>
      <c r="O122" s="6" t="n">
        <v>2</v>
      </c>
      <c r="P122" s="6" t="n">
        <v>0</v>
      </c>
      <c r="Q122" s="7">
        <f>R122/11</f>
        <v/>
      </c>
      <c r="R122" s="6" t="n">
        <v>3</v>
      </c>
      <c r="S122" s="6" t="n">
        <v>4</v>
      </c>
      <c r="T122" s="6" t="n">
        <v>4</v>
      </c>
      <c r="U122" s="7">
        <f>V122/14</f>
        <v/>
      </c>
      <c r="V122" s="6" t="n">
        <v>1</v>
      </c>
      <c r="W122" s="6" t="n">
        <v>12</v>
      </c>
      <c r="X122" s="6" t="n">
        <v>1</v>
      </c>
      <c r="Y122" s="8" t="n">
        <v>22.86</v>
      </c>
      <c r="Z122" s="9" t="inlineStr">
        <is>
          <t>Success</t>
        </is>
      </c>
      <c r="AA122" s="2" t="inlineStr">
        <is>
          <t>2026-10-08 18:39:24</t>
        </is>
      </c>
    </row>
    <row r="123" ht="21.95" customHeight="1">
      <c r="A123" s="2" t="n">
        <v>122</v>
      </c>
      <c r="B123" s="31" t="inlineStr">
        <is>
          <t>http://www.dhammajak.net</t>
        </is>
      </c>
      <c r="C123" s="2" t="inlineStr">
        <is>
          <t>ศิลปะ-วัฒนธรรม</t>
        </is>
      </c>
      <c r="D123" s="10">
        <f>F123/71</f>
        <v/>
      </c>
      <c r="E123" s="11">
        <f>IF(D123&gt;=0.9,"ดีเยี่ยม",IF(D123&gt;=0.7,"ดี",IF(D123&gt;=0.5,"พอใช้","ต้องปรับปรุง")))</f>
        <v/>
      </c>
      <c r="F123" s="6">
        <f>J123+N123+R123+V123</f>
        <v/>
      </c>
      <c r="G123" s="6">
        <f>K123+O123+S123+W123</f>
        <v/>
      </c>
      <c r="H123" s="6">
        <f>L123+P123+T123+X123</f>
        <v/>
      </c>
      <c r="I123" s="7">
        <f>J123/37</f>
        <v/>
      </c>
      <c r="J123" s="6" t="n">
        <v>35</v>
      </c>
      <c r="K123" s="6" t="n">
        <v>2</v>
      </c>
      <c r="L123" s="6" t="n">
        <v>0</v>
      </c>
      <c r="M123" s="7">
        <f>N123/9</f>
        <v/>
      </c>
      <c r="N123" s="6" t="n">
        <v>8</v>
      </c>
      <c r="O123" s="6" t="n">
        <v>1</v>
      </c>
      <c r="P123" s="6" t="n">
        <v>0</v>
      </c>
      <c r="Q123" s="7">
        <f>R123/11</f>
        <v/>
      </c>
      <c r="R123" s="6" t="n">
        <v>2</v>
      </c>
      <c r="S123" s="6" t="n">
        <v>3</v>
      </c>
      <c r="T123" s="6" t="n">
        <v>6</v>
      </c>
      <c r="U123" s="7">
        <f>V123/14</f>
        <v/>
      </c>
      <c r="V123" s="6" t="n">
        <v>2</v>
      </c>
      <c r="W123" s="6" t="n">
        <v>12</v>
      </c>
      <c r="X123" s="6" t="n">
        <v>0</v>
      </c>
      <c r="Y123" s="8" t="n">
        <v>53.77</v>
      </c>
      <c r="Z123" s="9" t="inlineStr">
        <is>
          <t>Success</t>
        </is>
      </c>
      <c r="AA123" s="2" t="inlineStr">
        <is>
          <t>2026-10-08 18:40:17</t>
        </is>
      </c>
    </row>
    <row r="124" ht="21.95" customHeight="1">
      <c r="A124" s="2" t="n">
        <v>123</v>
      </c>
      <c r="B124" s="31" t="inlineStr">
        <is>
          <t>http://www.jrmotor.com</t>
        </is>
      </c>
      <c r="C124" s="2" t="inlineStr">
        <is>
          <t>ยานยนต์</t>
        </is>
      </c>
      <c r="D124" s="25">
        <f>F124/71</f>
        <v/>
      </c>
      <c r="E124" s="26">
        <f>IF(D124&gt;=0.9,"ดีเยี่ยม",IF(D124&gt;=0.7,"ดี",IF(D124&gt;=0.5,"พอใช้","ต้องปรับปรุง")))</f>
        <v/>
      </c>
      <c r="F124" s="6">
        <f>J124+N124+R124+V124</f>
        <v/>
      </c>
      <c r="G124" s="6">
        <f>K124+O124+S124+W124</f>
        <v/>
      </c>
      <c r="H124" s="6">
        <f>L124+P124+T124+X124</f>
        <v/>
      </c>
      <c r="I124" s="7">
        <f>J124/37</f>
        <v/>
      </c>
      <c r="J124" s="6" t="n">
        <v>0</v>
      </c>
      <c r="K124" s="6" t="n">
        <v>37</v>
      </c>
      <c r="L124" s="6" t="n">
        <v>0</v>
      </c>
      <c r="M124" s="7">
        <f>N124/9</f>
        <v/>
      </c>
      <c r="N124" s="6" t="n">
        <v>0</v>
      </c>
      <c r="O124" s="6" t="n">
        <v>9</v>
      </c>
      <c r="P124" s="6" t="n">
        <v>0</v>
      </c>
      <c r="Q124" s="7">
        <f>R124/11</f>
        <v/>
      </c>
      <c r="R124" s="6" t="n">
        <v>0</v>
      </c>
      <c r="S124" s="6" t="n">
        <v>11</v>
      </c>
      <c r="T124" s="6" t="n">
        <v>0</v>
      </c>
      <c r="U124" s="7">
        <f>V124/14</f>
        <v/>
      </c>
      <c r="V124" s="6" t="n">
        <v>0</v>
      </c>
      <c r="W124" s="6" t="n">
        <v>14</v>
      </c>
      <c r="X124" s="6" t="n">
        <v>0</v>
      </c>
      <c r="Y124" s="8" t="n">
        <v>0.6899999999999999</v>
      </c>
      <c r="Z124" s="27" t="inlineStr">
        <is>
          <t>Failed (โดนบล็อก / เข้าถึงไม่ได้ (HTTP 403))</t>
        </is>
      </c>
      <c r="AA124" s="2" t="inlineStr">
        <is>
          <t>2026-10-21 00:13:37</t>
        </is>
      </c>
    </row>
    <row r="125" ht="21.95" customHeight="1">
      <c r="A125" s="2" t="n">
        <v>124</v>
      </c>
      <c r="B125" s="31" t="inlineStr">
        <is>
          <t>http://www.pim24.co.th</t>
        </is>
      </c>
      <c r="C125" s="2" t="inlineStr">
        <is>
          <t>ธุรกิจ</t>
        </is>
      </c>
      <c r="D125" s="10">
        <f>F125/71</f>
        <v/>
      </c>
      <c r="E125" s="11">
        <f>IF(D125&gt;=0.9,"ดีเยี่ยม",IF(D125&gt;=0.7,"ดี",IF(D125&gt;=0.5,"พอใช้","ต้องปรับปรุง")))</f>
        <v/>
      </c>
      <c r="F125" s="6">
        <f>J125+N125+R125+V125</f>
        <v/>
      </c>
      <c r="G125" s="6">
        <f>K125+O125+S125+W125</f>
        <v/>
      </c>
      <c r="H125" s="6">
        <f>L125+P125+T125+X125</f>
        <v/>
      </c>
      <c r="I125" s="7">
        <f>J125/37</f>
        <v/>
      </c>
      <c r="J125" s="6" t="n">
        <v>34</v>
      </c>
      <c r="K125" s="6" t="n">
        <v>3</v>
      </c>
      <c r="L125" s="6" t="n">
        <v>0</v>
      </c>
      <c r="M125" s="7">
        <f>N125/9</f>
        <v/>
      </c>
      <c r="N125" s="6" t="n">
        <v>8</v>
      </c>
      <c r="O125" s="6" t="n">
        <v>1</v>
      </c>
      <c r="P125" s="6" t="n">
        <v>0</v>
      </c>
      <c r="Q125" s="7">
        <f>R125/11</f>
        <v/>
      </c>
      <c r="R125" s="6" t="n">
        <v>3</v>
      </c>
      <c r="S125" s="6" t="n">
        <v>3</v>
      </c>
      <c r="T125" s="6" t="n">
        <v>5</v>
      </c>
      <c r="U125" s="7">
        <f>V125/14</f>
        <v/>
      </c>
      <c r="V125" s="6" t="n">
        <v>2</v>
      </c>
      <c r="W125" s="6" t="n">
        <v>11</v>
      </c>
      <c r="X125" s="6" t="n">
        <v>1</v>
      </c>
      <c r="Y125" s="8" t="n">
        <v>35.65</v>
      </c>
      <c r="Z125" s="9" t="inlineStr">
        <is>
          <t>Success</t>
        </is>
      </c>
      <c r="AA125" s="2" t="inlineStr">
        <is>
          <t>2026-10-08 18:41:36</t>
        </is>
      </c>
    </row>
    <row r="126" ht="21.95" customHeight="1">
      <c r="A126" s="2" t="n">
        <v>125</v>
      </c>
      <c r="B126" s="31" t="inlineStr">
        <is>
          <t>http://www.kitchenwaremarket.com</t>
        </is>
      </c>
      <c r="C126" s="2" t="inlineStr">
        <is>
          <t>ช๊อปปิ้ง</t>
        </is>
      </c>
      <c r="D126" s="10">
        <f>F126/71</f>
        <v/>
      </c>
      <c r="E126" s="11">
        <f>IF(D126&gt;=0.9,"ดีเยี่ยม",IF(D126&gt;=0.7,"ดี",IF(D126&gt;=0.5,"พอใช้","ต้องปรับปรุง")))</f>
        <v/>
      </c>
      <c r="F126" s="6">
        <f>J126+N126+R126+V126</f>
        <v/>
      </c>
      <c r="G126" s="6">
        <f>K126+O126+S126+W126</f>
        <v/>
      </c>
      <c r="H126" s="6">
        <f>L126+P126+T126+X126</f>
        <v/>
      </c>
      <c r="I126" s="7">
        <f>J126/37</f>
        <v/>
      </c>
      <c r="J126" s="6" t="n">
        <v>32</v>
      </c>
      <c r="K126" s="6" t="n">
        <v>5</v>
      </c>
      <c r="L126" s="6" t="n">
        <v>0</v>
      </c>
      <c r="M126" s="7">
        <f>N126/9</f>
        <v/>
      </c>
      <c r="N126" s="6" t="n">
        <v>7</v>
      </c>
      <c r="O126" s="6" t="n">
        <v>0</v>
      </c>
      <c r="P126" s="6" t="n">
        <v>2</v>
      </c>
      <c r="Q126" s="7">
        <f>R126/11</f>
        <v/>
      </c>
      <c r="R126" s="6" t="n">
        <v>5</v>
      </c>
      <c r="S126" s="6" t="n">
        <v>3</v>
      </c>
      <c r="T126" s="6" t="n">
        <v>3</v>
      </c>
      <c r="U126" s="7">
        <f>V126/14</f>
        <v/>
      </c>
      <c r="V126" s="6" t="n">
        <v>2</v>
      </c>
      <c r="W126" s="6" t="n">
        <v>11</v>
      </c>
      <c r="X126" s="6" t="n">
        <v>1</v>
      </c>
      <c r="Y126" s="8" t="n">
        <v>22.89</v>
      </c>
      <c r="Z126" s="9" t="inlineStr">
        <is>
          <t>Success</t>
        </is>
      </c>
      <c r="AA126" s="2" t="inlineStr">
        <is>
          <t>2026-10-08 18:41:59</t>
        </is>
      </c>
    </row>
    <row r="127" ht="21.95" customHeight="1">
      <c r="A127" s="2" t="n">
        <v>126</v>
      </c>
      <c r="B127" s="31" t="inlineStr">
        <is>
          <t>http://www.rakluke.com</t>
        </is>
      </c>
      <c r="C127" s="2" t="inlineStr">
        <is>
          <t>บุคคล-สังคม</t>
        </is>
      </c>
      <c r="D127" s="10">
        <f>F127/71</f>
        <v/>
      </c>
      <c r="E127" s="11">
        <f>IF(D127&gt;=0.9,"ดีเยี่ยม",IF(D127&gt;=0.7,"ดี",IF(D127&gt;=0.5,"พอใช้","ต้องปรับปรุง")))</f>
        <v/>
      </c>
      <c r="F127" s="6">
        <f>J127+N127+R127+V127</f>
        <v/>
      </c>
      <c r="G127" s="6">
        <f>K127+O127+S127+W127</f>
        <v/>
      </c>
      <c r="H127" s="6">
        <f>L127+P127+T127+X127</f>
        <v/>
      </c>
      <c r="I127" s="7">
        <f>J127/37</f>
        <v/>
      </c>
      <c r="J127" s="6" t="n">
        <v>33</v>
      </c>
      <c r="K127" s="6" t="n">
        <v>4</v>
      </c>
      <c r="L127" s="6" t="n">
        <v>0</v>
      </c>
      <c r="M127" s="7">
        <f>N127/9</f>
        <v/>
      </c>
      <c r="N127" s="6" t="n">
        <v>8</v>
      </c>
      <c r="O127" s="6" t="n">
        <v>1</v>
      </c>
      <c r="P127" s="6" t="n">
        <v>0</v>
      </c>
      <c r="Q127" s="7">
        <f>R127/11</f>
        <v/>
      </c>
      <c r="R127" s="6" t="n">
        <v>3</v>
      </c>
      <c r="S127" s="6" t="n">
        <v>4</v>
      </c>
      <c r="T127" s="6" t="n">
        <v>4</v>
      </c>
      <c r="U127" s="7">
        <f>V127/14</f>
        <v/>
      </c>
      <c r="V127" s="6" t="n">
        <v>3</v>
      </c>
      <c r="W127" s="6" t="n">
        <v>11</v>
      </c>
      <c r="X127" s="6" t="n">
        <v>0</v>
      </c>
      <c r="Y127" s="8" t="n">
        <v>31.06</v>
      </c>
      <c r="Z127" s="9" t="inlineStr">
        <is>
          <t>Success</t>
        </is>
      </c>
      <c r="AA127" s="2" t="inlineStr">
        <is>
          <t>2026-10-08 18:42:30</t>
        </is>
      </c>
    </row>
    <row r="128" ht="21.95" customHeight="1">
      <c r="A128" s="2" t="n">
        <v>127</v>
      </c>
      <c r="B128" s="31" t="inlineStr">
        <is>
          <t>http://www.aimc.or.th</t>
        </is>
      </c>
      <c r="C128" s="2" t="inlineStr">
        <is>
          <t>หน่วยงานราชการ,องค์กร</t>
        </is>
      </c>
      <c r="D128" s="4">
        <f>F128/71</f>
        <v/>
      </c>
      <c r="E128" s="5">
        <f>IF(D128&gt;=0.9,"ดีเยี่ยม",IF(D128&gt;=0.7,"ดี",IF(D128&gt;=0.5,"พอใช้","ต้องปรับปรุง")))</f>
        <v/>
      </c>
      <c r="F128" s="6">
        <f>J128+N128+R128+V128</f>
        <v/>
      </c>
      <c r="G128" s="6">
        <f>K128+O128+S128+W128</f>
        <v/>
      </c>
      <c r="H128" s="6">
        <f>L128+P128+T128+X128</f>
        <v/>
      </c>
      <c r="I128" s="7">
        <f>J128/37</f>
        <v/>
      </c>
      <c r="J128" s="6" t="n">
        <v>36</v>
      </c>
      <c r="K128" s="6" t="n">
        <v>1</v>
      </c>
      <c r="L128" s="6" t="n">
        <v>0</v>
      </c>
      <c r="M128" s="7">
        <f>N128/9</f>
        <v/>
      </c>
      <c r="N128" s="6" t="n">
        <v>9</v>
      </c>
      <c r="O128" s="6" t="n">
        <v>0</v>
      </c>
      <c r="P128" s="6" t="n">
        <v>0</v>
      </c>
      <c r="Q128" s="7">
        <f>R128/11</f>
        <v/>
      </c>
      <c r="R128" s="6" t="n">
        <v>3</v>
      </c>
      <c r="S128" s="6" t="n">
        <v>4</v>
      </c>
      <c r="T128" s="6" t="n">
        <v>4</v>
      </c>
      <c r="U128" s="7">
        <f>V128/14</f>
        <v/>
      </c>
      <c r="V128" s="6" t="n">
        <v>2</v>
      </c>
      <c r="W128" s="6" t="n">
        <v>12</v>
      </c>
      <c r="X128" s="6" t="n">
        <v>0</v>
      </c>
      <c r="Y128" s="8" t="n">
        <v>8.98</v>
      </c>
      <c r="Z128" s="9" t="inlineStr">
        <is>
          <t>Success</t>
        </is>
      </c>
      <c r="AA128" s="2" t="inlineStr">
        <is>
          <t>2026-10-08 18:42:39</t>
        </is>
      </c>
    </row>
    <row r="129" ht="21.95" customHeight="1">
      <c r="A129" s="2" t="n">
        <v>128</v>
      </c>
      <c r="B129" s="31" t="inlineStr">
        <is>
          <t>http://doctorathome.com</t>
        </is>
      </c>
      <c r="C129" s="2" t="inlineStr">
        <is>
          <t>สุขภาพ</t>
        </is>
      </c>
      <c r="D129" s="4">
        <f>F129/71</f>
        <v/>
      </c>
      <c r="E129" s="5">
        <f>IF(D129&gt;=0.9,"ดีเยี่ยม",IF(D129&gt;=0.7,"ดี",IF(D129&gt;=0.5,"พอใช้","ต้องปรับปรุง")))</f>
        <v/>
      </c>
      <c r="F129" s="6">
        <f>J129+N129+R129+V129</f>
        <v/>
      </c>
      <c r="G129" s="6">
        <f>K129+O129+S129+W129</f>
        <v/>
      </c>
      <c r="H129" s="6">
        <f>L129+P129+T129+X129</f>
        <v/>
      </c>
      <c r="I129" s="7">
        <f>J129/37</f>
        <v/>
      </c>
      <c r="J129" s="6" t="n">
        <v>36</v>
      </c>
      <c r="K129" s="6" t="n">
        <v>1</v>
      </c>
      <c r="L129" s="6" t="n">
        <v>0</v>
      </c>
      <c r="M129" s="7">
        <f>N129/9</f>
        <v/>
      </c>
      <c r="N129" s="6" t="n">
        <v>8</v>
      </c>
      <c r="O129" s="6" t="n">
        <v>1</v>
      </c>
      <c r="P129" s="6" t="n">
        <v>0</v>
      </c>
      <c r="Q129" s="7">
        <f>R129/11</f>
        <v/>
      </c>
      <c r="R129" s="6" t="n">
        <v>4</v>
      </c>
      <c r="S129" s="6" t="n">
        <v>3</v>
      </c>
      <c r="T129" s="6" t="n">
        <v>4</v>
      </c>
      <c r="U129" s="7">
        <f>V129/14</f>
        <v/>
      </c>
      <c r="V129" s="6" t="n">
        <v>3</v>
      </c>
      <c r="W129" s="6" t="n">
        <v>10</v>
      </c>
      <c r="X129" s="6" t="n">
        <v>1</v>
      </c>
      <c r="Y129" s="8" t="n">
        <v>18.71</v>
      </c>
      <c r="Z129" s="9" t="inlineStr">
        <is>
          <t>Success</t>
        </is>
      </c>
      <c r="AA129" s="2" t="inlineStr">
        <is>
          <t>2026-10-08 18:42:57</t>
        </is>
      </c>
    </row>
    <row r="130" ht="21.95" customHeight="1">
      <c r="A130" s="2" t="n">
        <v>129</v>
      </c>
      <c r="B130" s="31" t="inlineStr">
        <is>
          <t>http://babyswimmingthailand.com</t>
        </is>
      </c>
      <c r="C130" s="2" t="inlineStr">
        <is>
          <t>การศึกษา</t>
        </is>
      </c>
      <c r="D130" s="4">
        <f>F130/71</f>
        <v/>
      </c>
      <c r="E130" s="5">
        <f>IF(D130&gt;=0.9,"ดีเยี่ยม",IF(D130&gt;=0.7,"ดี",IF(D130&gt;=0.5,"พอใช้","ต้องปรับปรุง")))</f>
        <v/>
      </c>
      <c r="F130" s="6">
        <f>J130+N130+R130+V130</f>
        <v/>
      </c>
      <c r="G130" s="6">
        <f>K130+O130+S130+W130</f>
        <v/>
      </c>
      <c r="H130" s="6">
        <f>L130+P130+T130+X130</f>
        <v/>
      </c>
      <c r="I130" s="7">
        <f>J130/37</f>
        <v/>
      </c>
      <c r="J130" s="6" t="n">
        <v>32</v>
      </c>
      <c r="K130" s="6" t="n">
        <v>4</v>
      </c>
      <c r="L130" s="6" t="n">
        <v>1</v>
      </c>
      <c r="M130" s="7">
        <f>N130/9</f>
        <v/>
      </c>
      <c r="N130" s="6" t="n">
        <v>7</v>
      </c>
      <c r="O130" s="6" t="n">
        <v>1</v>
      </c>
      <c r="P130" s="6" t="n">
        <v>1</v>
      </c>
      <c r="Q130" s="7">
        <f>R130/11</f>
        <v/>
      </c>
      <c r="R130" s="6" t="n">
        <v>5</v>
      </c>
      <c r="S130" s="6" t="n">
        <v>2</v>
      </c>
      <c r="T130" s="6" t="n">
        <v>4</v>
      </c>
      <c r="U130" s="7">
        <f>V130/14</f>
        <v/>
      </c>
      <c r="V130" s="6" t="n">
        <v>6</v>
      </c>
      <c r="W130" s="6" t="n">
        <v>7</v>
      </c>
      <c r="X130" s="6" t="n">
        <v>1</v>
      </c>
      <c r="Y130" s="8" t="n">
        <v>17.73</v>
      </c>
      <c r="Z130" s="9" t="inlineStr">
        <is>
          <t>Success</t>
        </is>
      </c>
      <c r="AA130" s="2" t="inlineStr">
        <is>
          <t>2026-10-08 18:43:15</t>
        </is>
      </c>
    </row>
    <row r="131" ht="21.95" customHeight="1">
      <c r="A131" s="2" t="n">
        <v>130</v>
      </c>
      <c r="B131" s="31" t="inlineStr">
        <is>
          <t>http://carbatterycb.com</t>
        </is>
      </c>
      <c r="C131" s="2" t="inlineStr">
        <is>
          <t>ยานยนต์</t>
        </is>
      </c>
      <c r="D131" s="10">
        <f>F131/71</f>
        <v/>
      </c>
      <c r="E131" s="11">
        <f>IF(D131&gt;=0.9,"ดีเยี่ยม",IF(D131&gt;=0.7,"ดี",IF(D131&gt;=0.5,"พอใช้","ต้องปรับปรุง")))</f>
        <v/>
      </c>
      <c r="F131" s="6">
        <f>J131+N131+R131+V131</f>
        <v/>
      </c>
      <c r="G131" s="6">
        <f>K131+O131+S131+W131</f>
        <v/>
      </c>
      <c r="H131" s="6">
        <f>L131+P131+T131+X131</f>
        <v/>
      </c>
      <c r="I131" s="7">
        <f>J131/37</f>
        <v/>
      </c>
      <c r="J131" s="6" t="n">
        <v>33</v>
      </c>
      <c r="K131" s="6" t="n">
        <v>4</v>
      </c>
      <c r="L131" s="6" t="n">
        <v>0</v>
      </c>
      <c r="M131" s="7">
        <f>N131/9</f>
        <v/>
      </c>
      <c r="N131" s="6" t="n">
        <v>7</v>
      </c>
      <c r="O131" s="6" t="n">
        <v>0</v>
      </c>
      <c r="P131" s="6" t="n">
        <v>2</v>
      </c>
      <c r="Q131" s="7">
        <f>R131/11</f>
        <v/>
      </c>
      <c r="R131" s="6" t="n">
        <v>4</v>
      </c>
      <c r="S131" s="6" t="n">
        <v>3</v>
      </c>
      <c r="T131" s="6" t="n">
        <v>4</v>
      </c>
      <c r="U131" s="7">
        <f>V131/14</f>
        <v/>
      </c>
      <c r="V131" s="6" t="n">
        <v>2</v>
      </c>
      <c r="W131" s="6" t="n">
        <v>11</v>
      </c>
      <c r="X131" s="6" t="n">
        <v>1</v>
      </c>
      <c r="Y131" s="8" t="n">
        <v>19.07</v>
      </c>
      <c r="Z131" s="9" t="inlineStr">
        <is>
          <t>Success</t>
        </is>
      </c>
      <c r="AA131" s="2" t="inlineStr">
        <is>
          <t>2026-10-08 18:43:34</t>
        </is>
      </c>
    </row>
    <row r="132" ht="21.95" customHeight="1">
      <c r="A132" s="2" t="n">
        <v>131</v>
      </c>
      <c r="B132" s="31" t="inlineStr">
        <is>
          <t>http://www.nimt.or.th</t>
        </is>
      </c>
      <c r="C132" s="2" t="inlineStr">
        <is>
          <t>หน่วยงานราชการ,องค์กร</t>
        </is>
      </c>
      <c r="D132" s="4">
        <f>F132/71</f>
        <v/>
      </c>
      <c r="E132" s="5">
        <f>IF(D132&gt;=0.9,"ดีเยี่ยม",IF(D132&gt;=0.7,"ดี",IF(D132&gt;=0.5,"พอใช้","ต้องปรับปรุง")))</f>
        <v/>
      </c>
      <c r="F132" s="6">
        <f>J132+N132+R132+V132</f>
        <v/>
      </c>
      <c r="G132" s="6">
        <f>K132+O132+S132+W132</f>
        <v/>
      </c>
      <c r="H132" s="6">
        <f>L132+P132+T132+X132</f>
        <v/>
      </c>
      <c r="I132" s="7">
        <f>J132/37</f>
        <v/>
      </c>
      <c r="J132" s="6" t="n">
        <v>34</v>
      </c>
      <c r="K132" s="6" t="n">
        <v>3</v>
      </c>
      <c r="L132" s="6" t="n">
        <v>0</v>
      </c>
      <c r="M132" s="7">
        <f>N132/9</f>
        <v/>
      </c>
      <c r="N132" s="6" t="n">
        <v>9</v>
      </c>
      <c r="O132" s="6" t="n">
        <v>0</v>
      </c>
      <c r="P132" s="6" t="n">
        <v>0</v>
      </c>
      <c r="Q132" s="7">
        <f>R132/11</f>
        <v/>
      </c>
      <c r="R132" s="6" t="n">
        <v>7</v>
      </c>
      <c r="S132" s="6" t="n">
        <v>3</v>
      </c>
      <c r="T132" s="6" t="n">
        <v>1</v>
      </c>
      <c r="U132" s="7">
        <f>V132/14</f>
        <v/>
      </c>
      <c r="V132" s="6" t="n">
        <v>4</v>
      </c>
      <c r="W132" s="6" t="n">
        <v>9</v>
      </c>
      <c r="X132" s="6" t="n">
        <v>1</v>
      </c>
      <c r="Y132" s="8" t="n">
        <v>8.1</v>
      </c>
      <c r="Z132" s="9" t="inlineStr">
        <is>
          <t>Success</t>
        </is>
      </c>
      <c r="AA132" s="2" t="inlineStr">
        <is>
          <t>2026-10-08 18:43:42</t>
        </is>
      </c>
    </row>
    <row r="133" ht="21.95" customHeight="1">
      <c r="A133" s="2" t="n">
        <v>132</v>
      </c>
      <c r="B133" s="31" t="inlineStr">
        <is>
          <t>http://seminardd.com</t>
        </is>
      </c>
      <c r="C133" s="2" t="inlineStr">
        <is>
          <t>การศึกษา</t>
        </is>
      </c>
      <c r="D133" s="10">
        <f>F133/71</f>
        <v/>
      </c>
      <c r="E133" s="11">
        <f>IF(D133&gt;=0.9,"ดีเยี่ยม",IF(D133&gt;=0.7,"ดี",IF(D133&gt;=0.5,"พอใช้","ต้องปรับปรุง")))</f>
        <v/>
      </c>
      <c r="F133" s="6">
        <f>J133+N133+R133+V133</f>
        <v/>
      </c>
      <c r="G133" s="6">
        <f>K133+O133+S133+W133</f>
        <v/>
      </c>
      <c r="H133" s="6">
        <f>L133+P133+T133+X133</f>
        <v/>
      </c>
      <c r="I133" s="7">
        <f>J133/37</f>
        <v/>
      </c>
      <c r="J133" s="6" t="n">
        <v>29</v>
      </c>
      <c r="K133" s="6" t="n">
        <v>7</v>
      </c>
      <c r="L133" s="6" t="n">
        <v>1</v>
      </c>
      <c r="M133" s="7">
        <f>N133/9</f>
        <v/>
      </c>
      <c r="N133" s="6" t="n">
        <v>8</v>
      </c>
      <c r="O133" s="6" t="n">
        <v>1</v>
      </c>
      <c r="P133" s="6" t="n">
        <v>0</v>
      </c>
      <c r="Q133" s="7">
        <f>R133/11</f>
        <v/>
      </c>
      <c r="R133" s="6" t="n">
        <v>3</v>
      </c>
      <c r="S133" s="6" t="n">
        <v>4</v>
      </c>
      <c r="T133" s="6" t="n">
        <v>4</v>
      </c>
      <c r="U133" s="7">
        <f>V133/14</f>
        <v/>
      </c>
      <c r="V133" s="6" t="n">
        <v>2</v>
      </c>
      <c r="W133" s="6" t="n">
        <v>11</v>
      </c>
      <c r="X133" s="6" t="n">
        <v>1</v>
      </c>
      <c r="Y133" s="8" t="n">
        <v>39.82</v>
      </c>
      <c r="Z133" s="9" t="inlineStr">
        <is>
          <t>Success</t>
        </is>
      </c>
      <c r="AA133" s="2" t="inlineStr">
        <is>
          <t>2026-10-08 18:44:22</t>
        </is>
      </c>
    </row>
    <row r="134" ht="21.95" customHeight="1">
      <c r="A134" s="2" t="n">
        <v>133</v>
      </c>
      <c r="B134" s="31" t="inlineStr">
        <is>
          <t>http://www.amlo.go.th</t>
        </is>
      </c>
      <c r="C134" s="2" t="inlineStr">
        <is>
          <t>หน่วยงานราชการ,องค์กร</t>
        </is>
      </c>
      <c r="D134" s="4">
        <f>F134/71</f>
        <v/>
      </c>
      <c r="E134" s="5">
        <f>IF(D134&gt;=0.9,"ดีเยี่ยม",IF(D134&gt;=0.7,"ดี",IF(D134&gt;=0.5,"พอใช้","ต้องปรับปรุง")))</f>
        <v/>
      </c>
      <c r="F134" s="6">
        <f>J134+N134+R134+V134</f>
        <v/>
      </c>
      <c r="G134" s="6">
        <f>K134+O134+S134+W134</f>
        <v/>
      </c>
      <c r="H134" s="6">
        <f>L134+P134+T134+X134</f>
        <v/>
      </c>
      <c r="I134" s="7">
        <f>J134/37</f>
        <v/>
      </c>
      <c r="J134" s="6" t="n">
        <v>37</v>
      </c>
      <c r="K134" s="6" t="n">
        <v>0</v>
      </c>
      <c r="L134" s="6" t="n">
        <v>0</v>
      </c>
      <c r="M134" s="7">
        <f>N134/9</f>
        <v/>
      </c>
      <c r="N134" s="6" t="n">
        <v>9</v>
      </c>
      <c r="O134" s="6" t="n">
        <v>0</v>
      </c>
      <c r="P134" s="6" t="n">
        <v>0</v>
      </c>
      <c r="Q134" s="7">
        <f>R134/11</f>
        <v/>
      </c>
      <c r="R134" s="6" t="n">
        <v>6</v>
      </c>
      <c r="S134" s="6" t="n">
        <v>4</v>
      </c>
      <c r="T134" s="6" t="n">
        <v>1</v>
      </c>
      <c r="U134" s="7">
        <f>V134/14</f>
        <v/>
      </c>
      <c r="V134" s="6" t="n">
        <v>1</v>
      </c>
      <c r="W134" s="6" t="n">
        <v>13</v>
      </c>
      <c r="X134" s="6" t="n">
        <v>0</v>
      </c>
      <c r="Y134" s="8" t="n">
        <v>35.4</v>
      </c>
      <c r="Z134" s="9" t="inlineStr">
        <is>
          <t>Success</t>
        </is>
      </c>
      <c r="AA134" s="2" t="inlineStr">
        <is>
          <t>2026-10-08 18:44:58</t>
        </is>
      </c>
    </row>
    <row r="135" ht="21.95" customHeight="1">
      <c r="A135" s="2" t="n">
        <v>134</v>
      </c>
      <c r="B135" s="31" t="inlineStr">
        <is>
          <t>http://www.techoffside.com</t>
        </is>
      </c>
      <c r="C135" s="2" t="inlineStr">
        <is>
          <t>มือถือ-พีดีเอ</t>
        </is>
      </c>
      <c r="D135" s="4">
        <f>F135/71</f>
        <v/>
      </c>
      <c r="E135" s="5">
        <f>IF(D135&gt;=0.9,"ดีเยี่ยม",IF(D135&gt;=0.7,"ดี",IF(D135&gt;=0.5,"พอใช้","ต้องปรับปรุง")))</f>
        <v/>
      </c>
      <c r="F135" s="6">
        <f>J135+N135+R135+V135</f>
        <v/>
      </c>
      <c r="G135" s="6">
        <f>K135+O135+S135+W135</f>
        <v/>
      </c>
      <c r="H135" s="6">
        <f>L135+P135+T135+X135</f>
        <v/>
      </c>
      <c r="I135" s="7">
        <f>J135/37</f>
        <v/>
      </c>
      <c r="J135" s="6" t="n">
        <v>35</v>
      </c>
      <c r="K135" s="6" t="n">
        <v>2</v>
      </c>
      <c r="L135" s="6" t="n">
        <v>0</v>
      </c>
      <c r="M135" s="7">
        <f>N135/9</f>
        <v/>
      </c>
      <c r="N135" s="6" t="n">
        <v>7</v>
      </c>
      <c r="O135" s="6" t="n">
        <v>2</v>
      </c>
      <c r="P135" s="6" t="n">
        <v>0</v>
      </c>
      <c r="Q135" s="7">
        <f>R135/11</f>
        <v/>
      </c>
      <c r="R135" s="6" t="n">
        <v>6</v>
      </c>
      <c r="S135" s="6" t="n">
        <v>1</v>
      </c>
      <c r="T135" s="6" t="n">
        <v>4</v>
      </c>
      <c r="U135" s="7">
        <f>V135/14</f>
        <v/>
      </c>
      <c r="V135" s="6" t="n">
        <v>4</v>
      </c>
      <c r="W135" s="6" t="n">
        <v>8</v>
      </c>
      <c r="X135" s="6" t="n">
        <v>2</v>
      </c>
      <c r="Y135" s="8" t="n">
        <v>43.59</v>
      </c>
      <c r="Z135" s="9" t="inlineStr">
        <is>
          <t>Success</t>
        </is>
      </c>
      <c r="AA135" s="2" t="inlineStr">
        <is>
          <t>2026-10-08 18:45:41</t>
        </is>
      </c>
    </row>
    <row r="136" ht="21.95" customHeight="1">
      <c r="A136" s="2" t="n">
        <v>135</v>
      </c>
      <c r="B136" s="31" t="inlineStr">
        <is>
          <t>http://www.thai-tour.com</t>
        </is>
      </c>
      <c r="C136" s="2" t="inlineStr">
        <is>
          <t>ท่องเที่ยว</t>
        </is>
      </c>
      <c r="D136" s="10">
        <f>F136/71</f>
        <v/>
      </c>
      <c r="E136" s="11">
        <f>IF(D136&gt;=0.9,"ดีเยี่ยม",IF(D136&gt;=0.7,"ดี",IF(D136&gt;=0.5,"พอใช้","ต้องปรับปรุง")))</f>
        <v/>
      </c>
      <c r="F136" s="6">
        <f>J136+N136+R136+V136</f>
        <v/>
      </c>
      <c r="G136" s="6">
        <f>K136+O136+S136+W136</f>
        <v/>
      </c>
      <c r="H136" s="6">
        <f>L136+P136+T136+X136</f>
        <v/>
      </c>
      <c r="I136" s="7">
        <f>J136/37</f>
        <v/>
      </c>
      <c r="J136" s="6" t="n">
        <v>31</v>
      </c>
      <c r="K136" s="6" t="n">
        <v>6</v>
      </c>
      <c r="L136" s="6" t="n">
        <v>0</v>
      </c>
      <c r="M136" s="7">
        <f>N136/9</f>
        <v/>
      </c>
      <c r="N136" s="6" t="n">
        <v>7</v>
      </c>
      <c r="O136" s="6" t="n">
        <v>2</v>
      </c>
      <c r="P136" s="6" t="n">
        <v>0</v>
      </c>
      <c r="Q136" s="7">
        <f>R136/11</f>
        <v/>
      </c>
      <c r="R136" s="6" t="n">
        <v>5</v>
      </c>
      <c r="S136" s="6" t="n">
        <v>2</v>
      </c>
      <c r="T136" s="6" t="n">
        <v>4</v>
      </c>
      <c r="U136" s="7">
        <f>V136/14</f>
        <v/>
      </c>
      <c r="V136" s="6" t="n">
        <v>6</v>
      </c>
      <c r="W136" s="6" t="n">
        <v>7</v>
      </c>
      <c r="X136" s="6" t="n">
        <v>1</v>
      </c>
      <c r="Y136" s="8" t="n">
        <v>32.21</v>
      </c>
      <c r="Z136" s="9" t="inlineStr">
        <is>
          <t>Success</t>
        </is>
      </c>
      <c r="AA136" s="2" t="inlineStr">
        <is>
          <t>2026-10-08 18:46:13</t>
        </is>
      </c>
    </row>
    <row r="137" ht="21.95" customHeight="1">
      <c r="A137" s="2" t="n">
        <v>136</v>
      </c>
      <c r="B137" s="31" t="inlineStr">
        <is>
          <t>http://www.mot.go.th</t>
        </is>
      </c>
      <c r="C137" s="2" t="inlineStr">
        <is>
          <t>หน่วยงานราชการ,องค์กร</t>
        </is>
      </c>
      <c r="D137" s="4">
        <f>F137/71</f>
        <v/>
      </c>
      <c r="E137" s="5">
        <f>IF(D137&gt;=0.9,"ดีเยี่ยม",IF(D137&gt;=0.7,"ดี",IF(D137&gt;=0.5,"พอใช้","ต้องปรับปรุง")))</f>
        <v/>
      </c>
      <c r="F137" s="6">
        <f>J137+N137+R137+V137</f>
        <v/>
      </c>
      <c r="G137" s="6">
        <f>K137+O137+S137+W137</f>
        <v/>
      </c>
      <c r="H137" s="6">
        <f>L137+P137+T137+X137</f>
        <v/>
      </c>
      <c r="I137" s="7">
        <f>J137/37</f>
        <v/>
      </c>
      <c r="J137" s="6" t="n">
        <v>36</v>
      </c>
      <c r="K137" s="6" t="n">
        <v>0</v>
      </c>
      <c r="L137" s="6" t="n">
        <v>1</v>
      </c>
      <c r="M137" s="7">
        <f>N137/9</f>
        <v/>
      </c>
      <c r="N137" s="6" t="n">
        <v>7</v>
      </c>
      <c r="O137" s="6" t="n">
        <v>1</v>
      </c>
      <c r="P137" s="6" t="n">
        <v>1</v>
      </c>
      <c r="Q137" s="7">
        <f>R137/11</f>
        <v/>
      </c>
      <c r="R137" s="6" t="n">
        <v>4</v>
      </c>
      <c r="S137" s="6" t="n">
        <v>3</v>
      </c>
      <c r="T137" s="6" t="n">
        <v>4</v>
      </c>
      <c r="U137" s="7">
        <f>V137/14</f>
        <v/>
      </c>
      <c r="V137" s="6" t="n">
        <v>3</v>
      </c>
      <c r="W137" s="6" t="n">
        <v>9</v>
      </c>
      <c r="X137" s="6" t="n">
        <v>2</v>
      </c>
      <c r="Y137" s="8" t="n">
        <v>15.78</v>
      </c>
      <c r="Z137" s="9" t="inlineStr">
        <is>
          <t>Success</t>
        </is>
      </c>
      <c r="AA137" s="2" t="inlineStr">
        <is>
          <t>2026-10-08 18:46:29</t>
        </is>
      </c>
    </row>
    <row r="138" ht="21.95" customHeight="1">
      <c r="A138" s="2" t="n">
        <v>137</v>
      </c>
      <c r="B138" s="31" t="inlineStr">
        <is>
          <t>http://www.weekendhobby.com</t>
        </is>
      </c>
      <c r="C138" s="2" t="inlineStr">
        <is>
          <t>ท่องเที่ยว</t>
        </is>
      </c>
      <c r="D138" s="10">
        <f>F138/71</f>
        <v/>
      </c>
      <c r="E138" s="11">
        <f>IF(D138&gt;=0.9,"ดีเยี่ยม",IF(D138&gt;=0.7,"ดี",IF(D138&gt;=0.5,"พอใช้","ต้องปรับปรุง")))</f>
        <v/>
      </c>
      <c r="F138" s="6">
        <f>J138+N138+R138+V138</f>
        <v/>
      </c>
      <c r="G138" s="6">
        <f>K138+O138+S138+W138</f>
        <v/>
      </c>
      <c r="H138" s="6">
        <f>L138+P138+T138+X138</f>
        <v/>
      </c>
      <c r="I138" s="7">
        <f>J138/37</f>
        <v/>
      </c>
      <c r="J138" s="6" t="n">
        <v>29</v>
      </c>
      <c r="K138" s="6" t="n">
        <v>7</v>
      </c>
      <c r="L138" s="6" t="n">
        <v>1</v>
      </c>
      <c r="M138" s="7">
        <f>N138/9</f>
        <v/>
      </c>
      <c r="N138" s="6" t="n">
        <v>7</v>
      </c>
      <c r="O138" s="6" t="n">
        <v>2</v>
      </c>
      <c r="P138" s="6" t="n">
        <v>0</v>
      </c>
      <c r="Q138" s="7">
        <f>R138/11</f>
        <v/>
      </c>
      <c r="R138" s="6" t="n">
        <v>1</v>
      </c>
      <c r="S138" s="6" t="n">
        <v>4</v>
      </c>
      <c r="T138" s="6" t="n">
        <v>6</v>
      </c>
      <c r="U138" s="7">
        <f>V138/14</f>
        <v/>
      </c>
      <c r="V138" s="6" t="n">
        <v>2</v>
      </c>
      <c r="W138" s="6" t="n">
        <v>12</v>
      </c>
      <c r="X138" s="6" t="n">
        <v>0</v>
      </c>
      <c r="Y138" s="8" t="n">
        <v>73.36</v>
      </c>
      <c r="Z138" s="9" t="inlineStr">
        <is>
          <t>Success</t>
        </is>
      </c>
      <c r="AA138" s="2" t="inlineStr">
        <is>
          <t>2026-10-09 12:06:59</t>
        </is>
      </c>
    </row>
    <row r="139" ht="21.95" customHeight="1">
      <c r="A139" s="2" t="n">
        <v>138</v>
      </c>
      <c r="B139" s="31" t="inlineStr">
        <is>
          <t>http://www.nanosoft.co.th</t>
        </is>
      </c>
      <c r="C139" s="2" t="inlineStr">
        <is>
          <t>ธุรกิจ</t>
        </is>
      </c>
      <c r="D139" s="4">
        <f>F139/71</f>
        <v/>
      </c>
      <c r="E139" s="5">
        <f>IF(D139&gt;=0.9,"ดีเยี่ยม",IF(D139&gt;=0.7,"ดี",IF(D139&gt;=0.5,"พอใช้","ต้องปรับปรุง")))</f>
        <v/>
      </c>
      <c r="F139" s="6">
        <f>J139+N139+R139+V139</f>
        <v/>
      </c>
      <c r="G139" s="6">
        <f>K139+O139+S139+W139</f>
        <v/>
      </c>
      <c r="H139" s="6">
        <f>L139+P139+T139+X139</f>
        <v/>
      </c>
      <c r="I139" s="7">
        <f>J139/37</f>
        <v/>
      </c>
      <c r="J139" s="6" t="n">
        <v>33</v>
      </c>
      <c r="K139" s="6" t="n">
        <v>4</v>
      </c>
      <c r="L139" s="6" t="n">
        <v>0</v>
      </c>
      <c r="M139" s="7">
        <f>N139/9</f>
        <v/>
      </c>
      <c r="N139" s="6" t="n">
        <v>8</v>
      </c>
      <c r="O139" s="6" t="n">
        <v>1</v>
      </c>
      <c r="P139" s="6" t="n">
        <v>0</v>
      </c>
      <c r="Q139" s="7">
        <f>R139/11</f>
        <v/>
      </c>
      <c r="R139" s="6" t="n">
        <v>7</v>
      </c>
      <c r="S139" s="6" t="n">
        <v>3</v>
      </c>
      <c r="T139" s="6" t="n">
        <v>1</v>
      </c>
      <c r="U139" s="7">
        <f>V139/14</f>
        <v/>
      </c>
      <c r="V139" s="6" t="n">
        <v>2</v>
      </c>
      <c r="W139" s="6" t="n">
        <v>12</v>
      </c>
      <c r="X139" s="6" t="n">
        <v>0</v>
      </c>
      <c r="Y139" s="8" t="n">
        <v>32.65</v>
      </c>
      <c r="Z139" s="9" t="inlineStr">
        <is>
          <t>Success</t>
        </is>
      </c>
      <c r="AA139" s="2" t="inlineStr">
        <is>
          <t>2026-10-08 18:48:12</t>
        </is>
      </c>
    </row>
    <row r="140" ht="21.95" customHeight="1">
      <c r="A140" s="2" t="n">
        <v>139</v>
      </c>
      <c r="B140" s="31" t="inlineStr">
        <is>
          <t>http://www.dcce.go.th</t>
        </is>
      </c>
      <c r="C140" s="2" t="inlineStr">
        <is>
          <t>หน่วยงานราชการ,องค์กร</t>
        </is>
      </c>
      <c r="D140" s="10">
        <f>F140/71</f>
        <v/>
      </c>
      <c r="E140" s="11">
        <f>IF(D140&gt;=0.9,"ดีเยี่ยม",IF(D140&gt;=0.7,"ดี",IF(D140&gt;=0.5,"พอใช้","ต้องปรับปรุง")))</f>
        <v/>
      </c>
      <c r="F140" s="6">
        <f>J140+N140+R140+V140</f>
        <v/>
      </c>
      <c r="G140" s="6">
        <f>K140+O140+S140+W140</f>
        <v/>
      </c>
      <c r="H140" s="6">
        <f>L140+P140+T140+X140</f>
        <v/>
      </c>
      <c r="I140" s="7">
        <f>J140/37</f>
        <v/>
      </c>
      <c r="J140" s="6" t="n">
        <v>33</v>
      </c>
      <c r="K140" s="6" t="n">
        <v>3</v>
      </c>
      <c r="L140" s="6" t="n">
        <v>1</v>
      </c>
      <c r="M140" s="7">
        <f>N140/9</f>
        <v/>
      </c>
      <c r="N140" s="6" t="n">
        <v>7</v>
      </c>
      <c r="O140" s="6" t="n">
        <v>2</v>
      </c>
      <c r="P140" s="6" t="n">
        <v>0</v>
      </c>
      <c r="Q140" s="7">
        <f>R140/11</f>
        <v/>
      </c>
      <c r="R140" s="6" t="n">
        <v>4</v>
      </c>
      <c r="S140" s="6" t="n">
        <v>3</v>
      </c>
      <c r="T140" s="6" t="n">
        <v>4</v>
      </c>
      <c r="U140" s="7">
        <f>V140/14</f>
        <v/>
      </c>
      <c r="V140" s="6" t="n">
        <v>2</v>
      </c>
      <c r="W140" s="6" t="n">
        <v>12</v>
      </c>
      <c r="X140" s="6" t="n">
        <v>0</v>
      </c>
      <c r="Y140" s="8" t="n">
        <v>38.13</v>
      </c>
      <c r="Z140" s="9" t="inlineStr">
        <is>
          <t>Success</t>
        </is>
      </c>
      <c r="AA140" s="2" t="inlineStr">
        <is>
          <t>2026-10-08 18:48:50</t>
        </is>
      </c>
    </row>
    <row r="141" ht="21.95" customHeight="1">
      <c r="A141" s="2" t="n">
        <v>140</v>
      </c>
      <c r="B141" s="31" t="inlineStr">
        <is>
          <t>http://www.entraining.net</t>
        </is>
      </c>
      <c r="C141" s="2" t="inlineStr">
        <is>
          <t>การศึกษา</t>
        </is>
      </c>
      <c r="D141" s="10">
        <f>F141/71</f>
        <v/>
      </c>
      <c r="E141" s="11">
        <f>IF(D141&gt;=0.9,"ดีเยี่ยม",IF(D141&gt;=0.7,"ดี",IF(D141&gt;=0.5,"พอใช้","ต้องปรับปรุง")))</f>
        <v/>
      </c>
      <c r="F141" s="6">
        <f>J141+N141+R141+V141</f>
        <v/>
      </c>
      <c r="G141" s="6">
        <f>K141+O141+S141+W141</f>
        <v/>
      </c>
      <c r="H141" s="6">
        <f>L141+P141+T141+X141</f>
        <v/>
      </c>
      <c r="I141" s="7">
        <f>J141/37</f>
        <v/>
      </c>
      <c r="J141" s="6" t="n">
        <v>33</v>
      </c>
      <c r="K141" s="6" t="n">
        <v>4</v>
      </c>
      <c r="L141" s="6" t="n">
        <v>0</v>
      </c>
      <c r="M141" s="7">
        <f>N141/9</f>
        <v/>
      </c>
      <c r="N141" s="6" t="n">
        <v>7</v>
      </c>
      <c r="O141" s="6" t="n">
        <v>2</v>
      </c>
      <c r="P141" s="6" t="n">
        <v>0</v>
      </c>
      <c r="Q141" s="7">
        <f>R141/11</f>
        <v/>
      </c>
      <c r="R141" s="6" t="n">
        <v>3</v>
      </c>
      <c r="S141" s="6" t="n">
        <v>4</v>
      </c>
      <c r="T141" s="6" t="n">
        <v>4</v>
      </c>
      <c r="U141" s="7">
        <f>V141/14</f>
        <v/>
      </c>
      <c r="V141" s="6" t="n">
        <v>2</v>
      </c>
      <c r="W141" s="6" t="n">
        <v>12</v>
      </c>
      <c r="X141" s="6" t="n">
        <v>0</v>
      </c>
      <c r="Y141" s="8" t="n">
        <v>20.61</v>
      </c>
      <c r="Z141" s="9" t="inlineStr">
        <is>
          <t>Success</t>
        </is>
      </c>
      <c r="AA141" s="2" t="inlineStr">
        <is>
          <t>2026-10-08 18:49:10</t>
        </is>
      </c>
    </row>
    <row r="142" ht="21.95" customHeight="1">
      <c r="A142" s="2" t="n">
        <v>141</v>
      </c>
      <c r="B142" s="31" t="inlineStr">
        <is>
          <t>http://www.mamaexpert.com</t>
        </is>
      </c>
      <c r="C142" s="2" t="inlineStr">
        <is>
          <t>บุคคล-สังคม</t>
        </is>
      </c>
      <c r="D142" s="10">
        <f>F142/71</f>
        <v/>
      </c>
      <c r="E142" s="11">
        <f>IF(D142&gt;=0.9,"ดีเยี่ยม",IF(D142&gt;=0.7,"ดี",IF(D142&gt;=0.5,"พอใช้","ต้องปรับปรุง")))</f>
        <v/>
      </c>
      <c r="F142" s="6">
        <f>J142+N142+R142+V142</f>
        <v/>
      </c>
      <c r="G142" s="6">
        <f>K142+O142+S142+W142</f>
        <v/>
      </c>
      <c r="H142" s="6">
        <f>L142+P142+T142+X142</f>
        <v/>
      </c>
      <c r="I142" s="7">
        <f>J142/37</f>
        <v/>
      </c>
      <c r="J142" s="6" t="n">
        <v>31</v>
      </c>
      <c r="K142" s="6" t="n">
        <v>6</v>
      </c>
      <c r="L142" s="6" t="n">
        <v>0</v>
      </c>
      <c r="M142" s="7">
        <f>N142/9</f>
        <v/>
      </c>
      <c r="N142" s="6" t="n">
        <v>7</v>
      </c>
      <c r="O142" s="6" t="n">
        <v>2</v>
      </c>
      <c r="P142" s="6" t="n">
        <v>0</v>
      </c>
      <c r="Q142" s="7">
        <f>R142/11</f>
        <v/>
      </c>
      <c r="R142" s="6" t="n">
        <v>2</v>
      </c>
      <c r="S142" s="6" t="n">
        <v>4</v>
      </c>
      <c r="T142" s="6" t="n">
        <v>5</v>
      </c>
      <c r="U142" s="7">
        <f>V142/14</f>
        <v/>
      </c>
      <c r="V142" s="6" t="n">
        <v>2</v>
      </c>
      <c r="W142" s="6" t="n">
        <v>12</v>
      </c>
      <c r="X142" s="6" t="n">
        <v>0</v>
      </c>
      <c r="Y142" s="8" t="n">
        <v>54.67</v>
      </c>
      <c r="Z142" s="9" t="inlineStr">
        <is>
          <t>Success</t>
        </is>
      </c>
      <c r="AA142" s="2" t="inlineStr">
        <is>
          <t>2026-10-08 18:50:05</t>
        </is>
      </c>
    </row>
    <row r="143" ht="21.95" customHeight="1">
      <c r="A143" s="2" t="n">
        <v>142</v>
      </c>
      <c r="B143" s="31" t="inlineStr">
        <is>
          <t>http://www.lensowheel.co.th</t>
        </is>
      </c>
      <c r="C143" s="2" t="inlineStr">
        <is>
          <t>ยานยนต์</t>
        </is>
      </c>
      <c r="D143" s="4">
        <f>F143/71</f>
        <v/>
      </c>
      <c r="E143" s="5">
        <f>IF(D143&gt;=0.9,"ดีเยี่ยม",IF(D143&gt;=0.7,"ดี",IF(D143&gt;=0.5,"พอใช้","ต้องปรับปรุง")))</f>
        <v/>
      </c>
      <c r="F143" s="6">
        <f>J143+N143+R143+V143</f>
        <v/>
      </c>
      <c r="G143" s="6">
        <f>K143+O143+S143+W143</f>
        <v/>
      </c>
      <c r="H143" s="6">
        <f>L143+P143+T143+X143</f>
        <v/>
      </c>
      <c r="I143" s="7">
        <f>J143/37</f>
        <v/>
      </c>
      <c r="J143" s="6" t="n">
        <v>35</v>
      </c>
      <c r="K143" s="6" t="n">
        <v>1</v>
      </c>
      <c r="L143" s="6" t="n">
        <v>1</v>
      </c>
      <c r="M143" s="7">
        <f>N143/9</f>
        <v/>
      </c>
      <c r="N143" s="6" t="n">
        <v>8</v>
      </c>
      <c r="O143" s="6" t="n">
        <v>1</v>
      </c>
      <c r="P143" s="6" t="n">
        <v>0</v>
      </c>
      <c r="Q143" s="7">
        <f>R143/11</f>
        <v/>
      </c>
      <c r="R143" s="6" t="n">
        <v>5</v>
      </c>
      <c r="S143" s="6" t="n">
        <v>1</v>
      </c>
      <c r="T143" s="6" t="n">
        <v>5</v>
      </c>
      <c r="U143" s="7">
        <f>V143/14</f>
        <v/>
      </c>
      <c r="V143" s="6" t="n">
        <v>6</v>
      </c>
      <c r="W143" s="6" t="n">
        <v>6</v>
      </c>
      <c r="X143" s="6" t="n">
        <v>2</v>
      </c>
      <c r="Y143" s="8" t="n">
        <v>34.4</v>
      </c>
      <c r="Z143" s="9" t="inlineStr">
        <is>
          <t>Success</t>
        </is>
      </c>
      <c r="AA143" s="2" t="inlineStr">
        <is>
          <t>2026-10-08 18:50:39</t>
        </is>
      </c>
    </row>
    <row r="144" ht="21.95" customHeight="1">
      <c r="A144" s="2" t="n">
        <v>143</v>
      </c>
      <c r="B144" s="31" t="inlineStr">
        <is>
          <t>http://tpso.go.th</t>
        </is>
      </c>
      <c r="C144" s="2" t="inlineStr">
        <is>
          <t>หน่วยงานราชการ,องค์กร</t>
        </is>
      </c>
      <c r="D144" s="10">
        <f>F144/71</f>
        <v/>
      </c>
      <c r="E144" s="11">
        <f>IF(D144&gt;=0.9,"ดีเยี่ยม",IF(D144&gt;=0.7,"ดี",IF(D144&gt;=0.5,"พอใช้","ต้องปรับปรุง")))</f>
        <v/>
      </c>
      <c r="F144" s="6">
        <f>J144+N144+R144+V144</f>
        <v/>
      </c>
      <c r="G144" s="6">
        <f>K144+O144+S144+W144</f>
        <v/>
      </c>
      <c r="H144" s="6">
        <f>L144+P144+T144+X144</f>
        <v/>
      </c>
      <c r="I144" s="7">
        <f>J144/37</f>
        <v/>
      </c>
      <c r="J144" s="6" t="n">
        <v>37</v>
      </c>
      <c r="K144" s="6" t="n">
        <v>0</v>
      </c>
      <c r="L144" s="6" t="n">
        <v>0</v>
      </c>
      <c r="M144" s="7">
        <f>N144/9</f>
        <v/>
      </c>
      <c r="N144" s="6" t="n">
        <v>6</v>
      </c>
      <c r="O144" s="6" t="n">
        <v>2</v>
      </c>
      <c r="P144" s="6" t="n">
        <v>1</v>
      </c>
      <c r="Q144" s="7">
        <f>R144/11</f>
        <v/>
      </c>
      <c r="R144" s="6" t="n">
        <v>3</v>
      </c>
      <c r="S144" s="6" t="n">
        <v>3</v>
      </c>
      <c r="T144" s="6" t="n">
        <v>5</v>
      </c>
      <c r="U144" s="7">
        <f>V144/14</f>
        <v/>
      </c>
      <c r="V144" s="6" t="n">
        <v>2</v>
      </c>
      <c r="W144" s="6" t="n">
        <v>12</v>
      </c>
      <c r="X144" s="6" t="n">
        <v>0</v>
      </c>
      <c r="Y144" s="8" t="n">
        <v>38.47</v>
      </c>
      <c r="Z144" s="9" t="inlineStr">
        <is>
          <t>Success</t>
        </is>
      </c>
      <c r="AA144" s="2" t="inlineStr">
        <is>
          <t>2026-10-08 18:51:18</t>
        </is>
      </c>
    </row>
    <row r="145" ht="21.95" customHeight="1">
      <c r="A145" s="2" t="n">
        <v>144</v>
      </c>
      <c r="B145" s="31" t="inlineStr">
        <is>
          <t>http://www.tistr.or.th</t>
        </is>
      </c>
      <c r="C145" s="2" t="inlineStr">
        <is>
          <t>หน่วยงานราชการ,องค์กร</t>
        </is>
      </c>
      <c r="D145" s="4">
        <f>F145/71</f>
        <v/>
      </c>
      <c r="E145" s="5">
        <f>IF(D145&gt;=0.9,"ดีเยี่ยม",IF(D145&gt;=0.7,"ดี",IF(D145&gt;=0.5,"พอใช้","ต้องปรับปรุง")))</f>
        <v/>
      </c>
      <c r="F145" s="6">
        <f>J145+N145+R145+V145</f>
        <v/>
      </c>
      <c r="G145" s="6">
        <f>K145+O145+S145+W145</f>
        <v/>
      </c>
      <c r="H145" s="6">
        <f>L145+P145+T145+X145</f>
        <v/>
      </c>
      <c r="I145" s="7">
        <f>J145/37</f>
        <v/>
      </c>
      <c r="J145" s="6" t="n">
        <v>35</v>
      </c>
      <c r="K145" s="6" t="n">
        <v>2</v>
      </c>
      <c r="L145" s="6" t="n">
        <v>0</v>
      </c>
      <c r="M145" s="7">
        <f>N145/9</f>
        <v/>
      </c>
      <c r="N145" s="6" t="n">
        <v>8</v>
      </c>
      <c r="O145" s="6" t="n">
        <v>1</v>
      </c>
      <c r="P145" s="6" t="n">
        <v>0</v>
      </c>
      <c r="Q145" s="7">
        <f>R145/11</f>
        <v/>
      </c>
      <c r="R145" s="6" t="n">
        <v>7</v>
      </c>
      <c r="S145" s="6" t="n">
        <v>1</v>
      </c>
      <c r="T145" s="6" t="n">
        <v>3</v>
      </c>
      <c r="U145" s="7">
        <f>V145/14</f>
        <v/>
      </c>
      <c r="V145" s="6" t="n">
        <v>6</v>
      </c>
      <c r="W145" s="6" t="n">
        <v>8</v>
      </c>
      <c r="X145" s="6" t="n">
        <v>0</v>
      </c>
      <c r="Y145" s="8" t="n">
        <v>34.52</v>
      </c>
      <c r="Z145" s="9" t="inlineStr">
        <is>
          <t>Success</t>
        </is>
      </c>
      <c r="AA145" s="2" t="inlineStr">
        <is>
          <t>2026-10-08 18:51:52</t>
        </is>
      </c>
    </row>
    <row r="146" ht="21.95" customHeight="1">
      <c r="A146" s="2" t="n">
        <v>145</v>
      </c>
      <c r="B146" s="31" t="inlineStr">
        <is>
          <t>http://www.thaiclinic.com</t>
        </is>
      </c>
      <c r="C146" s="2" t="inlineStr">
        <is>
          <t>สุขภาพ</t>
        </is>
      </c>
      <c r="D146" s="25">
        <f>F146/71</f>
        <v/>
      </c>
      <c r="E146" s="26">
        <f>IF(D146&gt;=0.9,"ดีเยี่ยม",IF(D146&gt;=0.7,"ดี",IF(D146&gt;=0.5,"พอใช้","ต้องปรับปรุง")))</f>
        <v/>
      </c>
      <c r="F146" s="6">
        <f>J146+N146+R146+V146</f>
        <v/>
      </c>
      <c r="G146" s="6">
        <f>K146+O146+S146+W146</f>
        <v/>
      </c>
      <c r="H146" s="6">
        <f>L146+P146+T146+X146</f>
        <v/>
      </c>
      <c r="I146" s="7">
        <f>J146/37</f>
        <v/>
      </c>
      <c r="J146" s="6" t="n">
        <v>0</v>
      </c>
      <c r="K146" s="6" t="n">
        <v>37</v>
      </c>
      <c r="L146" s="6" t="n">
        <v>0</v>
      </c>
      <c r="M146" s="7">
        <f>N146/9</f>
        <v/>
      </c>
      <c r="N146" s="6" t="n">
        <v>0</v>
      </c>
      <c r="O146" s="6" t="n">
        <v>9</v>
      </c>
      <c r="P146" s="6" t="n">
        <v>0</v>
      </c>
      <c r="Q146" s="7">
        <f>R146/11</f>
        <v/>
      </c>
      <c r="R146" s="6" t="n">
        <v>0</v>
      </c>
      <c r="S146" s="6" t="n">
        <v>11</v>
      </c>
      <c r="T146" s="6" t="n">
        <v>0</v>
      </c>
      <c r="U146" s="7">
        <f>V146/14</f>
        <v/>
      </c>
      <c r="V146" s="6" t="n">
        <v>0</v>
      </c>
      <c r="W146" s="6" t="n">
        <v>14</v>
      </c>
      <c r="X146" s="6" t="n">
        <v>0</v>
      </c>
      <c r="Y146" s="8" t="n">
        <v>24.4</v>
      </c>
      <c r="Z146" s="27" t="inlineStr">
        <is>
          <t>Failed (Timeout (เว็บไม่ตอบ))</t>
        </is>
      </c>
      <c r="AA146" s="2" t="inlineStr">
        <is>
          <t>2026-10-21 00:13:37</t>
        </is>
      </c>
    </row>
    <row r="147" ht="21.95" customHeight="1">
      <c r="A147" s="2" t="n">
        <v>146</v>
      </c>
      <c r="B147" s="31" t="inlineStr">
        <is>
          <t>http://www.ball-lock.com</t>
        </is>
      </c>
      <c r="C147" s="2" t="inlineStr">
        <is>
          <t>กีฬา</t>
        </is>
      </c>
      <c r="D147" s="4">
        <f>F147/71</f>
        <v/>
      </c>
      <c r="E147" s="5">
        <f>IF(D147&gt;=0.9,"ดีเยี่ยม",IF(D147&gt;=0.7,"ดี",IF(D147&gt;=0.5,"พอใช้","ต้องปรับปรุง")))</f>
        <v/>
      </c>
      <c r="F147" s="6">
        <f>J147+N147+R147+V147</f>
        <v/>
      </c>
      <c r="G147" s="6">
        <f>K147+O147+S147+W147</f>
        <v/>
      </c>
      <c r="H147" s="6">
        <f>L147+P147+T147+X147</f>
        <v/>
      </c>
      <c r="I147" s="7">
        <f>J147/37</f>
        <v/>
      </c>
      <c r="J147" s="6" t="n">
        <v>34</v>
      </c>
      <c r="K147" s="6" t="n">
        <v>2</v>
      </c>
      <c r="L147" s="6" t="n">
        <v>1</v>
      </c>
      <c r="M147" s="7">
        <f>N147/9</f>
        <v/>
      </c>
      <c r="N147" s="6" t="n">
        <v>6</v>
      </c>
      <c r="O147" s="6" t="n">
        <v>3</v>
      </c>
      <c r="P147" s="6" t="n">
        <v>0</v>
      </c>
      <c r="Q147" s="7">
        <f>R147/11</f>
        <v/>
      </c>
      <c r="R147" s="6" t="n">
        <v>5</v>
      </c>
      <c r="S147" s="6" t="n">
        <v>2</v>
      </c>
      <c r="T147" s="6" t="n">
        <v>4</v>
      </c>
      <c r="U147" s="7">
        <f>V147/14</f>
        <v/>
      </c>
      <c r="V147" s="6" t="n">
        <v>5</v>
      </c>
      <c r="W147" s="6" t="n">
        <v>8</v>
      </c>
      <c r="X147" s="6" t="n">
        <v>1</v>
      </c>
      <c r="Y147" s="8" t="n">
        <v>19.15</v>
      </c>
      <c r="Z147" s="9" t="inlineStr">
        <is>
          <t>Success</t>
        </is>
      </c>
      <c r="AA147" s="2" t="inlineStr">
        <is>
          <t>2026-10-08 18:53:33</t>
        </is>
      </c>
    </row>
    <row r="148" ht="21.95" customHeight="1">
      <c r="A148" s="2" t="n">
        <v>147</v>
      </c>
      <c r="B148" s="31" t="inlineStr">
        <is>
          <t>http://www.premacare.co.th</t>
        </is>
      </c>
      <c r="C148" s="2" t="inlineStr">
        <is>
          <t>ธุรกิจ</t>
        </is>
      </c>
      <c r="D148" s="10">
        <f>F148/71</f>
        <v/>
      </c>
      <c r="E148" s="11">
        <f>IF(D148&gt;=0.9,"ดีเยี่ยม",IF(D148&gt;=0.7,"ดี",IF(D148&gt;=0.5,"พอใช้","ต้องปรับปรุง")))</f>
        <v/>
      </c>
      <c r="F148" s="6">
        <f>J148+N148+R148+V148</f>
        <v/>
      </c>
      <c r="G148" s="6">
        <f>K148+O148+S148+W148</f>
        <v/>
      </c>
      <c r="H148" s="6">
        <f>L148+P148+T148+X148</f>
        <v/>
      </c>
      <c r="I148" s="7">
        <f>J148/37</f>
        <v/>
      </c>
      <c r="J148" s="6" t="n">
        <v>33</v>
      </c>
      <c r="K148" s="6" t="n">
        <v>4</v>
      </c>
      <c r="L148" s="6" t="n">
        <v>0</v>
      </c>
      <c r="M148" s="7">
        <f>N148/9</f>
        <v/>
      </c>
      <c r="N148" s="6" t="n">
        <v>8</v>
      </c>
      <c r="O148" s="6" t="n">
        <v>1</v>
      </c>
      <c r="P148" s="6" t="n">
        <v>0</v>
      </c>
      <c r="Q148" s="7">
        <f>R148/11</f>
        <v/>
      </c>
      <c r="R148" s="6" t="n">
        <v>5</v>
      </c>
      <c r="S148" s="6" t="n">
        <v>3</v>
      </c>
      <c r="T148" s="6" t="n">
        <v>3</v>
      </c>
      <c r="U148" s="7">
        <f>V148/14</f>
        <v/>
      </c>
      <c r="V148" s="6" t="n">
        <v>3</v>
      </c>
      <c r="W148" s="6" t="n">
        <v>11</v>
      </c>
      <c r="X148" s="6" t="n">
        <v>0</v>
      </c>
      <c r="Y148" s="8" t="n">
        <v>19.17</v>
      </c>
      <c r="Z148" s="9" t="inlineStr">
        <is>
          <t>Success</t>
        </is>
      </c>
      <c r="AA148" s="2" t="inlineStr">
        <is>
          <t>2026-10-08 18:53:52</t>
        </is>
      </c>
    </row>
    <row r="149" ht="21.95" customHeight="1">
      <c r="A149" s="2" t="n">
        <v>148</v>
      </c>
      <c r="B149" s="31" t="inlineStr">
        <is>
          <t>http://www.brr.ac.th</t>
        </is>
      </c>
      <c r="C149" s="2" t="inlineStr">
        <is>
          <t>การศึกษา</t>
        </is>
      </c>
      <c r="D149" s="10">
        <f>F149/71</f>
        <v/>
      </c>
      <c r="E149" s="11">
        <f>IF(D149&gt;=0.9,"ดีเยี่ยม",IF(D149&gt;=0.7,"ดี",IF(D149&gt;=0.5,"พอใช้","ต้องปรับปรุง")))</f>
        <v/>
      </c>
      <c r="F149" s="6">
        <f>J149+N149+R149+V149</f>
        <v/>
      </c>
      <c r="G149" s="6">
        <f>K149+O149+S149+W149</f>
        <v/>
      </c>
      <c r="H149" s="6">
        <f>L149+P149+T149+X149</f>
        <v/>
      </c>
      <c r="I149" s="7">
        <f>J149/37</f>
        <v/>
      </c>
      <c r="J149" s="6" t="n">
        <v>33</v>
      </c>
      <c r="K149" s="6" t="n">
        <v>3</v>
      </c>
      <c r="L149" s="6" t="n">
        <v>1</v>
      </c>
      <c r="M149" s="7">
        <f>N149/9</f>
        <v/>
      </c>
      <c r="N149" s="6" t="n">
        <v>5</v>
      </c>
      <c r="O149" s="6" t="n">
        <v>2</v>
      </c>
      <c r="P149" s="6" t="n">
        <v>2</v>
      </c>
      <c r="Q149" s="7">
        <f>R149/11</f>
        <v/>
      </c>
      <c r="R149" s="6" t="n">
        <v>2</v>
      </c>
      <c r="S149" s="6" t="n">
        <v>3</v>
      </c>
      <c r="T149" s="6" t="n">
        <v>6</v>
      </c>
      <c r="U149" s="7">
        <f>V149/14</f>
        <v/>
      </c>
      <c r="V149" s="6" t="n">
        <v>2</v>
      </c>
      <c r="W149" s="6" t="n">
        <v>12</v>
      </c>
      <c r="X149" s="6" t="n">
        <v>0</v>
      </c>
      <c r="Y149" s="8" t="n">
        <v>25.33</v>
      </c>
      <c r="Z149" s="9" t="inlineStr">
        <is>
          <t>Success</t>
        </is>
      </c>
      <c r="AA149" s="2" t="inlineStr">
        <is>
          <t>2026-10-08 18:54:18</t>
        </is>
      </c>
    </row>
    <row r="150" ht="21.95" customHeight="1">
      <c r="A150" s="2" t="n">
        <v>149</v>
      </c>
      <c r="B150" s="31" t="inlineStr">
        <is>
          <t>http://www.onlb.go.th</t>
        </is>
      </c>
      <c r="C150" s="2" t="inlineStr">
        <is>
          <t>หน่วยงานราชการ,องค์กร</t>
        </is>
      </c>
      <c r="D150" s="4">
        <f>F150/71</f>
        <v/>
      </c>
      <c r="E150" s="5">
        <f>IF(D150&gt;=0.9,"ดีเยี่ยม",IF(D150&gt;=0.7,"ดี",IF(D150&gt;=0.5,"พอใช้","ต้องปรับปรุง")))</f>
        <v/>
      </c>
      <c r="F150" s="6">
        <f>J150+N150+R150+V150</f>
        <v/>
      </c>
      <c r="G150" s="6">
        <f>K150+O150+S150+W150</f>
        <v/>
      </c>
      <c r="H150" s="6">
        <f>L150+P150+T150+X150</f>
        <v/>
      </c>
      <c r="I150" s="7">
        <f>J150/37</f>
        <v/>
      </c>
      <c r="J150" s="6" t="n">
        <v>37</v>
      </c>
      <c r="K150" s="6" t="n">
        <v>0</v>
      </c>
      <c r="L150" s="6" t="n">
        <v>0</v>
      </c>
      <c r="M150" s="7">
        <f>N150/9</f>
        <v/>
      </c>
      <c r="N150" s="6" t="n">
        <v>8</v>
      </c>
      <c r="O150" s="6" t="n">
        <v>1</v>
      </c>
      <c r="P150" s="6" t="n">
        <v>0</v>
      </c>
      <c r="Q150" s="7">
        <f>R150/11</f>
        <v/>
      </c>
      <c r="R150" s="6" t="n">
        <v>7</v>
      </c>
      <c r="S150" s="6" t="n">
        <v>2</v>
      </c>
      <c r="T150" s="6" t="n">
        <v>2</v>
      </c>
      <c r="U150" s="7">
        <f>V150/14</f>
        <v/>
      </c>
      <c r="V150" s="6" t="n">
        <v>9</v>
      </c>
      <c r="W150" s="6" t="n">
        <v>4</v>
      </c>
      <c r="X150" s="6" t="n">
        <v>1</v>
      </c>
      <c r="Y150" s="8" t="n">
        <v>26.23</v>
      </c>
      <c r="Z150" s="9" t="inlineStr">
        <is>
          <t>Success</t>
        </is>
      </c>
      <c r="AA150" s="2" t="inlineStr">
        <is>
          <t>2026-10-08 18:54:44</t>
        </is>
      </c>
    </row>
    <row r="151" ht="21.95" customHeight="1">
      <c r="A151" s="2" t="n">
        <v>150</v>
      </c>
      <c r="B151" s="31" t="inlineStr">
        <is>
          <t>http://www.onec.go.th</t>
        </is>
      </c>
      <c r="C151" s="2" t="inlineStr">
        <is>
          <t>หน่วยงานราชการ,องค์กร</t>
        </is>
      </c>
      <c r="D151" s="4">
        <f>F151/71</f>
        <v/>
      </c>
      <c r="E151" s="5">
        <f>IF(D151&gt;=0.9,"ดีเยี่ยม",IF(D151&gt;=0.7,"ดี",IF(D151&gt;=0.5,"พอใช้","ต้องปรับปรุง")))</f>
        <v/>
      </c>
      <c r="F151" s="6">
        <f>J151+N151+R151+V151</f>
        <v/>
      </c>
      <c r="G151" s="6">
        <f>K151+O151+S151+W151</f>
        <v/>
      </c>
      <c r="H151" s="6">
        <f>L151+P151+T151+X151</f>
        <v/>
      </c>
      <c r="I151" s="7">
        <f>J151/37</f>
        <v/>
      </c>
      <c r="J151" s="6" t="n">
        <v>34</v>
      </c>
      <c r="K151" s="6" t="n">
        <v>3</v>
      </c>
      <c r="L151" s="6" t="n">
        <v>0</v>
      </c>
      <c r="M151" s="7">
        <f>N151/9</f>
        <v/>
      </c>
      <c r="N151" s="6" t="n">
        <v>9</v>
      </c>
      <c r="O151" s="6" t="n">
        <v>0</v>
      </c>
      <c r="P151" s="6" t="n">
        <v>0</v>
      </c>
      <c r="Q151" s="7">
        <f>R151/11</f>
        <v/>
      </c>
      <c r="R151" s="6" t="n">
        <v>6</v>
      </c>
      <c r="S151" s="6" t="n">
        <v>3</v>
      </c>
      <c r="T151" s="6" t="n">
        <v>2</v>
      </c>
      <c r="U151" s="7">
        <f>V151/14</f>
        <v/>
      </c>
      <c r="V151" s="6" t="n">
        <v>4</v>
      </c>
      <c r="W151" s="6" t="n">
        <v>9</v>
      </c>
      <c r="X151" s="6" t="n">
        <v>1</v>
      </c>
      <c r="Y151" s="8" t="n">
        <v>88.02</v>
      </c>
      <c r="Z151" s="9" t="inlineStr">
        <is>
          <t>Success</t>
        </is>
      </c>
      <c r="AA151" s="2" t="inlineStr">
        <is>
          <t>2026-10-08 18:56:12</t>
        </is>
      </c>
    </row>
    <row r="152" ht="21.95" customHeight="1">
      <c r="A152" s="2" t="n">
        <v>151</v>
      </c>
      <c r="B152" s="31" t="inlineStr">
        <is>
          <t>http://www.reic.or.th</t>
        </is>
      </c>
      <c r="C152" s="2" t="inlineStr">
        <is>
          <t>อสังหาริมทรัพย์-ก่อสร้าง</t>
        </is>
      </c>
      <c r="D152" s="10">
        <f>F152/71</f>
        <v/>
      </c>
      <c r="E152" s="11">
        <f>IF(D152&gt;=0.9,"ดีเยี่ยม",IF(D152&gt;=0.7,"ดี",IF(D152&gt;=0.5,"พอใช้","ต้องปรับปรุง")))</f>
        <v/>
      </c>
      <c r="F152" s="6">
        <f>J152+N152+R152+V152</f>
        <v/>
      </c>
      <c r="G152" s="6">
        <f>K152+O152+S152+W152</f>
        <v/>
      </c>
      <c r="H152" s="6">
        <f>L152+P152+T152+X152</f>
        <v/>
      </c>
      <c r="I152" s="7">
        <f>J152/37</f>
        <v/>
      </c>
      <c r="J152" s="6" t="n">
        <v>34</v>
      </c>
      <c r="K152" s="6" t="n">
        <v>2</v>
      </c>
      <c r="L152" s="6" t="n">
        <v>1</v>
      </c>
      <c r="M152" s="7">
        <f>N152/9</f>
        <v/>
      </c>
      <c r="N152" s="6" t="n">
        <v>6</v>
      </c>
      <c r="O152" s="6" t="n">
        <v>2</v>
      </c>
      <c r="P152" s="6" t="n">
        <v>1</v>
      </c>
      <c r="Q152" s="7">
        <f>R152/11</f>
        <v/>
      </c>
      <c r="R152" s="6" t="n">
        <v>5</v>
      </c>
      <c r="S152" s="6" t="n">
        <v>2</v>
      </c>
      <c r="T152" s="6" t="n">
        <v>4</v>
      </c>
      <c r="U152" s="7">
        <f>V152/14</f>
        <v/>
      </c>
      <c r="V152" s="6" t="n">
        <v>4</v>
      </c>
      <c r="W152" s="6" t="n">
        <v>8</v>
      </c>
      <c r="X152" s="6" t="n">
        <v>2</v>
      </c>
      <c r="Y152" s="8" t="n">
        <v>15.56</v>
      </c>
      <c r="Z152" s="9" t="inlineStr">
        <is>
          <t>Success</t>
        </is>
      </c>
      <c r="AA152" s="2" t="inlineStr">
        <is>
          <t>2026-10-08 18:56:27</t>
        </is>
      </c>
    </row>
    <row r="153" ht="21.95" customHeight="1">
      <c r="A153" s="2" t="n">
        <v>152</v>
      </c>
      <c r="B153" s="31" t="inlineStr">
        <is>
          <t>http://www.koratdaily.com</t>
        </is>
      </c>
      <c r="C153" s="2" t="inlineStr">
        <is>
          <t>ข่าว-สื่อ</t>
        </is>
      </c>
      <c r="D153" s="10">
        <f>F153/71</f>
        <v/>
      </c>
      <c r="E153" s="11">
        <f>IF(D153&gt;=0.9,"ดีเยี่ยม",IF(D153&gt;=0.7,"ดี",IF(D153&gt;=0.5,"พอใช้","ต้องปรับปรุง")))</f>
        <v/>
      </c>
      <c r="F153" s="6">
        <f>J153+N153+R153+V153</f>
        <v/>
      </c>
      <c r="G153" s="6">
        <f>K153+O153+S153+W153</f>
        <v/>
      </c>
      <c r="H153" s="6">
        <f>L153+P153+T153+X153</f>
        <v/>
      </c>
      <c r="I153" s="7">
        <f>J153/37</f>
        <v/>
      </c>
      <c r="J153" s="6" t="n">
        <v>30</v>
      </c>
      <c r="K153" s="6" t="n">
        <v>7</v>
      </c>
      <c r="L153" s="6" t="n">
        <v>0</v>
      </c>
      <c r="M153" s="7">
        <f>N153/9</f>
        <v/>
      </c>
      <c r="N153" s="6" t="n">
        <v>8</v>
      </c>
      <c r="O153" s="6" t="n">
        <v>1</v>
      </c>
      <c r="P153" s="6" t="n">
        <v>0</v>
      </c>
      <c r="Q153" s="7">
        <f>R153/11</f>
        <v/>
      </c>
      <c r="R153" s="6" t="n">
        <v>3</v>
      </c>
      <c r="S153" s="6" t="n">
        <v>4</v>
      </c>
      <c r="T153" s="6" t="n">
        <v>4</v>
      </c>
      <c r="U153" s="7">
        <f>V153/14</f>
        <v/>
      </c>
      <c r="V153" s="6" t="n">
        <v>2</v>
      </c>
      <c r="W153" s="6" t="n">
        <v>12</v>
      </c>
      <c r="X153" s="6" t="n">
        <v>0</v>
      </c>
      <c r="Y153" s="8" t="n">
        <v>29.15</v>
      </c>
      <c r="Z153" s="9" t="inlineStr">
        <is>
          <t>Success</t>
        </is>
      </c>
      <c r="AA153" s="2" t="inlineStr">
        <is>
          <t>2026-10-08 18:56:57</t>
        </is>
      </c>
    </row>
    <row r="154" ht="21.95" customHeight="1">
      <c r="A154" s="2" t="n">
        <v>153</v>
      </c>
      <c r="B154" s="31" t="inlineStr">
        <is>
          <t>http://www.obec.go.th</t>
        </is>
      </c>
      <c r="C154" s="2" t="inlineStr">
        <is>
          <t>หน่วยงานราชการ,องค์กร</t>
        </is>
      </c>
      <c r="D154" s="4">
        <f>F154/71</f>
        <v/>
      </c>
      <c r="E154" s="5">
        <f>IF(D154&gt;=0.9,"ดีเยี่ยม",IF(D154&gt;=0.7,"ดี",IF(D154&gt;=0.5,"พอใช้","ต้องปรับปรุง")))</f>
        <v/>
      </c>
      <c r="F154" s="6">
        <f>J154+N154+R154+V154</f>
        <v/>
      </c>
      <c r="G154" s="6">
        <f>K154+O154+S154+W154</f>
        <v/>
      </c>
      <c r="H154" s="6">
        <f>L154+P154+T154+X154</f>
        <v/>
      </c>
      <c r="I154" s="7">
        <f>J154/37</f>
        <v/>
      </c>
      <c r="J154" s="6" t="n">
        <v>31</v>
      </c>
      <c r="K154" s="6" t="n">
        <v>6</v>
      </c>
      <c r="L154" s="6" t="n">
        <v>0</v>
      </c>
      <c r="M154" s="7">
        <f>N154/9</f>
        <v/>
      </c>
      <c r="N154" s="6" t="n">
        <v>7</v>
      </c>
      <c r="O154" s="6" t="n">
        <v>2</v>
      </c>
      <c r="P154" s="6" t="n">
        <v>0</v>
      </c>
      <c r="Q154" s="7">
        <f>R154/11</f>
        <v/>
      </c>
      <c r="R154" s="6" t="n">
        <v>6</v>
      </c>
      <c r="S154" s="6" t="n">
        <v>1</v>
      </c>
      <c r="T154" s="6" t="n">
        <v>4</v>
      </c>
      <c r="U154" s="7">
        <f>V154/14</f>
        <v/>
      </c>
      <c r="V154" s="6" t="n">
        <v>7</v>
      </c>
      <c r="W154" s="6" t="n">
        <v>7</v>
      </c>
      <c r="X154" s="6" t="n">
        <v>0</v>
      </c>
      <c r="Y154" s="8" t="n">
        <v>20.34</v>
      </c>
      <c r="Z154" s="9" t="inlineStr">
        <is>
          <t>Success</t>
        </is>
      </c>
      <c r="AA154" s="2" t="inlineStr">
        <is>
          <t>2026-10-08 18:57:17</t>
        </is>
      </c>
    </row>
    <row r="155" ht="21.95" customHeight="1">
      <c r="A155" s="2" t="n">
        <v>154</v>
      </c>
      <c r="B155" s="31" t="inlineStr">
        <is>
          <t>http://www.moi.go.th</t>
        </is>
      </c>
      <c r="C155" s="2" t="inlineStr">
        <is>
          <t>หน่วยงานราชการ,องค์กร</t>
        </is>
      </c>
      <c r="D155" s="4">
        <f>F155/71</f>
        <v/>
      </c>
      <c r="E155" s="5">
        <f>IF(D155&gt;=0.9,"ดีเยี่ยม",IF(D155&gt;=0.7,"ดี",IF(D155&gt;=0.5,"พอใช้","ต้องปรับปรุง")))</f>
        <v/>
      </c>
      <c r="F155" s="6">
        <f>J155+N155+R155+V155</f>
        <v/>
      </c>
      <c r="G155" s="6">
        <f>K155+O155+S155+W155</f>
        <v/>
      </c>
      <c r="H155" s="6">
        <f>L155+P155+T155+X155</f>
        <v/>
      </c>
      <c r="I155" s="7">
        <f>J155/37</f>
        <v/>
      </c>
      <c r="J155" s="6" t="n">
        <v>36</v>
      </c>
      <c r="K155" s="6" t="n">
        <v>0</v>
      </c>
      <c r="L155" s="6" t="n">
        <v>1</v>
      </c>
      <c r="M155" s="7">
        <f>N155/9</f>
        <v/>
      </c>
      <c r="N155" s="6" t="n">
        <v>8</v>
      </c>
      <c r="O155" s="6" t="n">
        <v>1</v>
      </c>
      <c r="P155" s="6" t="n">
        <v>0</v>
      </c>
      <c r="Q155" s="7">
        <f>R155/11</f>
        <v/>
      </c>
      <c r="R155" s="6" t="n">
        <v>4</v>
      </c>
      <c r="S155" s="6" t="n">
        <v>4</v>
      </c>
      <c r="T155" s="6" t="n">
        <v>3</v>
      </c>
      <c r="U155" s="7">
        <f>V155/14</f>
        <v/>
      </c>
      <c r="V155" s="6" t="n">
        <v>2</v>
      </c>
      <c r="W155" s="6" t="n">
        <v>12</v>
      </c>
      <c r="X155" s="6" t="n">
        <v>0</v>
      </c>
      <c r="Y155" s="8" t="n">
        <v>14.3</v>
      </c>
      <c r="Z155" s="9" t="inlineStr">
        <is>
          <t>Success</t>
        </is>
      </c>
      <c r="AA155" s="2" t="inlineStr">
        <is>
          <t>2026-10-08 18:57:31</t>
        </is>
      </c>
    </row>
    <row r="156" ht="21.95" customHeight="1">
      <c r="A156" s="2" t="n">
        <v>155</v>
      </c>
      <c r="B156" s="31" t="inlineStr">
        <is>
          <t>http://kindeeyunuea.com</t>
        </is>
      </c>
      <c r="C156" s="2" t="inlineStr">
        <is>
          <t>ท่องเที่ยว</t>
        </is>
      </c>
      <c r="D156" s="10">
        <f>F156/71</f>
        <v/>
      </c>
      <c r="E156" s="11">
        <f>IF(D156&gt;=0.9,"ดีเยี่ยม",IF(D156&gt;=0.7,"ดี",IF(D156&gt;=0.5,"พอใช้","ต้องปรับปรุง")))</f>
        <v/>
      </c>
      <c r="F156" s="6">
        <f>J156+N156+R156+V156</f>
        <v/>
      </c>
      <c r="G156" s="6">
        <f>K156+O156+S156+W156</f>
        <v/>
      </c>
      <c r="H156" s="6">
        <f>L156+P156+T156+X156</f>
        <v/>
      </c>
      <c r="I156" s="7">
        <f>J156/37</f>
        <v/>
      </c>
      <c r="J156" s="6" t="n">
        <v>32</v>
      </c>
      <c r="K156" s="6" t="n">
        <v>3</v>
      </c>
      <c r="L156" s="6" t="n">
        <v>2</v>
      </c>
      <c r="M156" s="7">
        <f>N156/9</f>
        <v/>
      </c>
      <c r="N156" s="6" t="n">
        <v>8</v>
      </c>
      <c r="O156" s="6" t="n">
        <v>1</v>
      </c>
      <c r="P156" s="6" t="n">
        <v>0</v>
      </c>
      <c r="Q156" s="7">
        <f>R156/11</f>
        <v/>
      </c>
      <c r="R156" s="6" t="n">
        <v>4</v>
      </c>
      <c r="S156" s="6" t="n">
        <v>3</v>
      </c>
      <c r="T156" s="6" t="n">
        <v>4</v>
      </c>
      <c r="U156" s="7">
        <f>V156/14</f>
        <v/>
      </c>
      <c r="V156" s="6" t="n">
        <v>2</v>
      </c>
      <c r="W156" s="6" t="n">
        <v>12</v>
      </c>
      <c r="X156" s="6" t="n">
        <v>0</v>
      </c>
      <c r="Y156" s="8" t="n">
        <v>32.25</v>
      </c>
      <c r="Z156" s="9" t="inlineStr">
        <is>
          <t>Success</t>
        </is>
      </c>
      <c r="AA156" s="2" t="inlineStr">
        <is>
          <t>2026-10-08 18:58:03</t>
        </is>
      </c>
    </row>
    <row r="157" ht="21.95" customHeight="1">
      <c r="A157" s="2" t="n">
        <v>156</v>
      </c>
      <c r="B157" s="31" t="inlineStr">
        <is>
          <t>http://rukkroo.com</t>
        </is>
      </c>
      <c r="C157" s="2" t="inlineStr">
        <is>
          <t>การศึกษา</t>
        </is>
      </c>
      <c r="D157" s="4">
        <f>F157/71</f>
        <v/>
      </c>
      <c r="E157" s="5">
        <f>IF(D157&gt;=0.9,"ดีเยี่ยม",IF(D157&gt;=0.7,"ดี",IF(D157&gt;=0.5,"พอใช้","ต้องปรับปรุง")))</f>
        <v/>
      </c>
      <c r="F157" s="6">
        <f>J157+N157+R157+V157</f>
        <v/>
      </c>
      <c r="G157" s="6">
        <f>K157+O157+S157+W157</f>
        <v/>
      </c>
      <c r="H157" s="6">
        <f>L157+P157+T157+X157</f>
        <v/>
      </c>
      <c r="I157" s="7">
        <f>J157/37</f>
        <v/>
      </c>
      <c r="J157" s="6" t="n">
        <v>36</v>
      </c>
      <c r="K157" s="6" t="n">
        <v>1</v>
      </c>
      <c r="L157" s="6" t="n">
        <v>0</v>
      </c>
      <c r="M157" s="7">
        <f>N157/9</f>
        <v/>
      </c>
      <c r="N157" s="6" t="n">
        <v>9</v>
      </c>
      <c r="O157" s="6" t="n">
        <v>0</v>
      </c>
      <c r="P157" s="6" t="n">
        <v>0</v>
      </c>
      <c r="Q157" s="7">
        <f>R157/11</f>
        <v/>
      </c>
      <c r="R157" s="6" t="n">
        <v>6</v>
      </c>
      <c r="S157" s="6" t="n">
        <v>3</v>
      </c>
      <c r="T157" s="6" t="n">
        <v>2</v>
      </c>
      <c r="U157" s="7">
        <f>V157/14</f>
        <v/>
      </c>
      <c r="V157" s="6" t="n">
        <v>2</v>
      </c>
      <c r="W157" s="6" t="n">
        <v>12</v>
      </c>
      <c r="X157" s="6" t="n">
        <v>0</v>
      </c>
      <c r="Y157" s="8" t="n">
        <v>15.42</v>
      </c>
      <c r="Z157" s="9" t="inlineStr">
        <is>
          <t>Success</t>
        </is>
      </c>
      <c r="AA157" s="2" t="inlineStr">
        <is>
          <t>2026-10-08 18:58:19</t>
        </is>
      </c>
    </row>
    <row r="158" ht="21.95" customHeight="1">
      <c r="A158" s="2" t="n">
        <v>157</v>
      </c>
      <c r="B158" s="31" t="inlineStr">
        <is>
          <t>http://www.sbdc.co.th</t>
        </is>
      </c>
      <c r="C158" s="2" t="inlineStr">
        <is>
          <t>ธุรกิจ</t>
        </is>
      </c>
      <c r="D158" s="10">
        <f>F158/71</f>
        <v/>
      </c>
      <c r="E158" s="11">
        <f>IF(D158&gt;=0.9,"ดีเยี่ยม",IF(D158&gt;=0.7,"ดี",IF(D158&gt;=0.5,"พอใช้","ต้องปรับปรุง")))</f>
        <v/>
      </c>
      <c r="F158" s="6">
        <f>J158+N158+R158+V158</f>
        <v/>
      </c>
      <c r="G158" s="6">
        <f>K158+O158+S158+W158</f>
        <v/>
      </c>
      <c r="H158" s="6">
        <f>L158+P158+T158+X158</f>
        <v/>
      </c>
      <c r="I158" s="7">
        <f>J158/37</f>
        <v/>
      </c>
      <c r="J158" s="6" t="n">
        <v>30</v>
      </c>
      <c r="K158" s="6" t="n">
        <v>7</v>
      </c>
      <c r="L158" s="6" t="n">
        <v>0</v>
      </c>
      <c r="M158" s="7">
        <f>N158/9</f>
        <v/>
      </c>
      <c r="N158" s="6" t="n">
        <v>6</v>
      </c>
      <c r="O158" s="6" t="n">
        <v>3</v>
      </c>
      <c r="P158" s="6" t="n">
        <v>0</v>
      </c>
      <c r="Q158" s="7">
        <f>R158/11</f>
        <v/>
      </c>
      <c r="R158" s="6" t="n">
        <v>5</v>
      </c>
      <c r="S158" s="6" t="n">
        <v>2</v>
      </c>
      <c r="T158" s="6" t="n">
        <v>4</v>
      </c>
      <c r="U158" s="7">
        <f>V158/14</f>
        <v/>
      </c>
      <c r="V158" s="6" t="n">
        <v>6</v>
      </c>
      <c r="W158" s="6" t="n">
        <v>6</v>
      </c>
      <c r="X158" s="6" t="n">
        <v>2</v>
      </c>
      <c r="Y158" s="8" t="n">
        <v>22.85</v>
      </c>
      <c r="Z158" s="9" t="inlineStr">
        <is>
          <t>Success</t>
        </is>
      </c>
      <c r="AA158" s="2" t="inlineStr">
        <is>
          <t>2026-10-08 18:58:42</t>
        </is>
      </c>
    </row>
    <row r="159" ht="21.95" customHeight="1">
      <c r="A159" s="2" t="n">
        <v>158</v>
      </c>
      <c r="B159" s="31" t="inlineStr">
        <is>
          <t>http://www.thaicarlover.com</t>
        </is>
      </c>
      <c r="C159" s="2" t="inlineStr">
        <is>
          <t>ยานยนต์</t>
        </is>
      </c>
      <c r="D159" s="10">
        <f>F159/71</f>
        <v/>
      </c>
      <c r="E159" s="11">
        <f>IF(D159&gt;=0.9,"ดีเยี่ยม",IF(D159&gt;=0.7,"ดี",IF(D159&gt;=0.5,"พอใช้","ต้องปรับปรุง")))</f>
        <v/>
      </c>
      <c r="F159" s="6">
        <f>J159+N159+R159+V159</f>
        <v/>
      </c>
      <c r="G159" s="6">
        <f>K159+O159+S159+W159</f>
        <v/>
      </c>
      <c r="H159" s="6">
        <f>L159+P159+T159+X159</f>
        <v/>
      </c>
      <c r="I159" s="7">
        <f>J159/37</f>
        <v/>
      </c>
      <c r="J159" s="6" t="n">
        <v>32</v>
      </c>
      <c r="K159" s="6" t="n">
        <v>5</v>
      </c>
      <c r="L159" s="6" t="n">
        <v>0</v>
      </c>
      <c r="M159" s="7">
        <f>N159/9</f>
        <v/>
      </c>
      <c r="N159" s="6" t="n">
        <v>7</v>
      </c>
      <c r="O159" s="6" t="n">
        <v>2</v>
      </c>
      <c r="P159" s="6" t="n">
        <v>0</v>
      </c>
      <c r="Q159" s="7">
        <f>R159/11</f>
        <v/>
      </c>
      <c r="R159" s="6" t="n">
        <v>5</v>
      </c>
      <c r="S159" s="6" t="n">
        <v>2</v>
      </c>
      <c r="T159" s="6" t="n">
        <v>4</v>
      </c>
      <c r="U159" s="7">
        <f>V159/14</f>
        <v/>
      </c>
      <c r="V159" s="6" t="n">
        <v>3</v>
      </c>
      <c r="W159" s="6" t="n">
        <v>11</v>
      </c>
      <c r="X159" s="6" t="n">
        <v>0</v>
      </c>
      <c r="Y159" s="8" t="n">
        <v>20.41</v>
      </c>
      <c r="Z159" s="9" t="inlineStr">
        <is>
          <t>Success</t>
        </is>
      </c>
      <c r="AA159" s="2" t="inlineStr">
        <is>
          <t>2026-10-08 18:59:02</t>
        </is>
      </c>
    </row>
    <row r="160" ht="21.95" customHeight="1">
      <c r="A160" s="2" t="n">
        <v>159</v>
      </c>
      <c r="B160" s="31" t="inlineStr">
        <is>
          <t>http://www.shecu.chula.ac.th</t>
        </is>
      </c>
      <c r="C160" s="2" t="inlineStr">
        <is>
          <t>การศึกษา</t>
        </is>
      </c>
      <c r="D160" s="10">
        <f>F160/71</f>
        <v/>
      </c>
      <c r="E160" s="11">
        <f>IF(D160&gt;=0.9,"ดีเยี่ยม",IF(D160&gt;=0.7,"ดี",IF(D160&gt;=0.5,"พอใช้","ต้องปรับปรุง")))</f>
        <v/>
      </c>
      <c r="F160" s="6">
        <f>J160+N160+R160+V160</f>
        <v/>
      </c>
      <c r="G160" s="6">
        <f>K160+O160+S160+W160</f>
        <v/>
      </c>
      <c r="H160" s="6">
        <f>L160+P160+T160+X160</f>
        <v/>
      </c>
      <c r="I160" s="7">
        <f>J160/37</f>
        <v/>
      </c>
      <c r="J160" s="6" t="n">
        <v>32</v>
      </c>
      <c r="K160" s="6" t="n">
        <v>4</v>
      </c>
      <c r="L160" s="6" t="n">
        <v>1</v>
      </c>
      <c r="M160" s="7">
        <f>N160/9</f>
        <v/>
      </c>
      <c r="N160" s="6" t="n">
        <v>8</v>
      </c>
      <c r="O160" s="6" t="n">
        <v>1</v>
      </c>
      <c r="P160" s="6" t="n">
        <v>0</v>
      </c>
      <c r="Q160" s="7">
        <f>R160/11</f>
        <v/>
      </c>
      <c r="R160" s="6" t="n">
        <v>4</v>
      </c>
      <c r="S160" s="6" t="n">
        <v>4</v>
      </c>
      <c r="T160" s="6" t="n">
        <v>3</v>
      </c>
      <c r="U160" s="7">
        <f>V160/14</f>
        <v/>
      </c>
      <c r="V160" s="6" t="n">
        <v>1</v>
      </c>
      <c r="W160" s="6" t="n">
        <v>12</v>
      </c>
      <c r="X160" s="6" t="n">
        <v>1</v>
      </c>
      <c r="Y160" s="8" t="n">
        <v>24.79</v>
      </c>
      <c r="Z160" s="9" t="inlineStr">
        <is>
          <t>Success</t>
        </is>
      </c>
      <c r="AA160" s="2" t="inlineStr">
        <is>
          <t>2026-10-08 18:59:27</t>
        </is>
      </c>
    </row>
    <row r="161" ht="21.95" customHeight="1">
      <c r="A161" s="2" t="n">
        <v>160</v>
      </c>
      <c r="B161" s="31" t="inlineStr">
        <is>
          <t>http://www.bangkoklifenews.com</t>
        </is>
      </c>
      <c r="C161" s="2" t="inlineStr">
        <is>
          <t>ข่าว-สื่อ</t>
        </is>
      </c>
      <c r="D161" s="10">
        <f>F161/71</f>
        <v/>
      </c>
      <c r="E161" s="11">
        <f>IF(D161&gt;=0.9,"ดีเยี่ยม",IF(D161&gt;=0.7,"ดี",IF(D161&gt;=0.5,"พอใช้","ต้องปรับปรุง")))</f>
        <v/>
      </c>
      <c r="F161" s="6">
        <f>J161+N161+R161+V161</f>
        <v/>
      </c>
      <c r="G161" s="6">
        <f>K161+O161+S161+W161</f>
        <v/>
      </c>
      <c r="H161" s="6">
        <f>L161+P161+T161+X161</f>
        <v/>
      </c>
      <c r="I161" s="7">
        <f>J161/37</f>
        <v/>
      </c>
      <c r="J161" s="6" t="n">
        <v>32</v>
      </c>
      <c r="K161" s="6" t="n">
        <v>5</v>
      </c>
      <c r="L161" s="6" t="n">
        <v>0</v>
      </c>
      <c r="M161" s="7">
        <f>N161/9</f>
        <v/>
      </c>
      <c r="N161" s="6" t="n">
        <v>6</v>
      </c>
      <c r="O161" s="6" t="n">
        <v>3</v>
      </c>
      <c r="P161" s="6" t="n">
        <v>0</v>
      </c>
      <c r="Q161" s="7">
        <f>R161/11</f>
        <v/>
      </c>
      <c r="R161" s="6" t="n">
        <v>5</v>
      </c>
      <c r="S161" s="6" t="n">
        <v>2</v>
      </c>
      <c r="T161" s="6" t="n">
        <v>4</v>
      </c>
      <c r="U161" s="7">
        <f>V161/14</f>
        <v/>
      </c>
      <c r="V161" s="6" t="n">
        <v>4</v>
      </c>
      <c r="W161" s="6" t="n">
        <v>10</v>
      </c>
      <c r="X161" s="6" t="n">
        <v>0</v>
      </c>
      <c r="Y161" s="8" t="n">
        <v>20.39</v>
      </c>
      <c r="Z161" s="9" t="inlineStr">
        <is>
          <t>Success</t>
        </is>
      </c>
      <c r="AA161" s="2" t="inlineStr">
        <is>
          <t>2026-10-08 18:59:47</t>
        </is>
      </c>
    </row>
    <row r="162" ht="21.95" customHeight="1">
      <c r="A162" s="2" t="n">
        <v>161</v>
      </c>
      <c r="B162" s="31" t="inlineStr">
        <is>
          <t>http://yellow.co.th</t>
        </is>
      </c>
      <c r="C162" s="2" t="inlineStr">
        <is>
          <t>ช๊อปปิ้ง</t>
        </is>
      </c>
      <c r="D162" s="4">
        <f>F162/71</f>
        <v/>
      </c>
      <c r="E162" s="5">
        <f>IF(D162&gt;=0.9,"ดีเยี่ยม",IF(D162&gt;=0.7,"ดี",IF(D162&gt;=0.5,"พอใช้","ต้องปรับปรุง")))</f>
        <v/>
      </c>
      <c r="F162" s="6">
        <f>J162+N162+R162+V162</f>
        <v/>
      </c>
      <c r="G162" s="6">
        <f>K162+O162+S162+W162</f>
        <v/>
      </c>
      <c r="H162" s="6">
        <f>L162+P162+T162+X162</f>
        <v/>
      </c>
      <c r="I162" s="7">
        <f>J162/37</f>
        <v/>
      </c>
      <c r="J162" s="6" t="n">
        <v>30</v>
      </c>
      <c r="K162" s="6" t="n">
        <v>7</v>
      </c>
      <c r="L162" s="6" t="n">
        <v>0</v>
      </c>
      <c r="M162" s="7">
        <f>N162/9</f>
        <v/>
      </c>
      <c r="N162" s="6" t="n">
        <v>8</v>
      </c>
      <c r="O162" s="6" t="n">
        <v>1</v>
      </c>
      <c r="P162" s="6" t="n">
        <v>0</v>
      </c>
      <c r="Q162" s="7">
        <f>R162/11</f>
        <v/>
      </c>
      <c r="R162" s="6" t="n">
        <v>6</v>
      </c>
      <c r="S162" s="6" t="n">
        <v>2</v>
      </c>
      <c r="T162" s="6" t="n">
        <v>3</v>
      </c>
      <c r="U162" s="7">
        <f>V162/14</f>
        <v/>
      </c>
      <c r="V162" s="6" t="n">
        <v>7</v>
      </c>
      <c r="W162" s="6" t="n">
        <v>7</v>
      </c>
      <c r="X162" s="6" t="n">
        <v>0</v>
      </c>
      <c r="Y162" s="8" t="n">
        <v>50.39</v>
      </c>
      <c r="Z162" s="9" t="inlineStr">
        <is>
          <t>Success</t>
        </is>
      </c>
      <c r="AA162" s="2" t="inlineStr">
        <is>
          <t>2026-10-08 19:00:38</t>
        </is>
      </c>
    </row>
    <row r="163" ht="21.95" customHeight="1">
      <c r="A163" s="2" t="n">
        <v>162</v>
      </c>
      <c r="B163" s="31" t="inlineStr">
        <is>
          <t>http://nbm.co.th</t>
        </is>
      </c>
      <c r="C163" s="2" t="inlineStr">
        <is>
          <t>ธุรกิจ</t>
        </is>
      </c>
      <c r="D163" s="10">
        <f>F163/71</f>
        <v/>
      </c>
      <c r="E163" s="11">
        <f>IF(D163&gt;=0.9,"ดีเยี่ยม",IF(D163&gt;=0.7,"ดี",IF(D163&gt;=0.5,"พอใช้","ต้องปรับปรุง")))</f>
        <v/>
      </c>
      <c r="F163" s="6">
        <f>J163+N163+R163+V163</f>
        <v/>
      </c>
      <c r="G163" s="6">
        <f>K163+O163+S163+W163</f>
        <v/>
      </c>
      <c r="H163" s="6">
        <f>L163+P163+T163+X163</f>
        <v/>
      </c>
      <c r="I163" s="7">
        <f>J163/37</f>
        <v/>
      </c>
      <c r="J163" s="6" t="n">
        <v>35</v>
      </c>
      <c r="K163" s="6" t="n">
        <v>1</v>
      </c>
      <c r="L163" s="6" t="n">
        <v>1</v>
      </c>
      <c r="M163" s="7">
        <f>N163/9</f>
        <v/>
      </c>
      <c r="N163" s="6" t="n">
        <v>7</v>
      </c>
      <c r="O163" s="6" t="n">
        <v>2</v>
      </c>
      <c r="P163" s="6" t="n">
        <v>0</v>
      </c>
      <c r="Q163" s="7">
        <f>R163/11</f>
        <v/>
      </c>
      <c r="R163" s="6" t="n">
        <v>5</v>
      </c>
      <c r="S163" s="6" t="n">
        <v>3</v>
      </c>
      <c r="T163" s="6" t="n">
        <v>3</v>
      </c>
      <c r="U163" s="7">
        <f>V163/14</f>
        <v/>
      </c>
      <c r="V163" s="6" t="n">
        <v>2</v>
      </c>
      <c r="W163" s="6" t="n">
        <v>12</v>
      </c>
      <c r="X163" s="6" t="n">
        <v>0</v>
      </c>
      <c r="Y163" s="8" t="n">
        <v>15.34</v>
      </c>
      <c r="Z163" s="9" t="inlineStr">
        <is>
          <t>Success</t>
        </is>
      </c>
      <c r="AA163" s="2" t="inlineStr">
        <is>
          <t>2026-10-08 19:00:53</t>
        </is>
      </c>
    </row>
    <row r="164" ht="21.95" customHeight="1">
      <c r="A164" s="2" t="n">
        <v>163</v>
      </c>
      <c r="B164" s="31" t="inlineStr">
        <is>
          <t>http://www.git.or.th</t>
        </is>
      </c>
      <c r="C164" s="2" t="inlineStr">
        <is>
          <t>ช๊อปปิ้ง</t>
        </is>
      </c>
      <c r="D164" s="10">
        <f>F164/71</f>
        <v/>
      </c>
      <c r="E164" s="11">
        <f>IF(D164&gt;=0.9,"ดีเยี่ยม",IF(D164&gt;=0.7,"ดี",IF(D164&gt;=0.5,"พอใช้","ต้องปรับปรุง")))</f>
        <v/>
      </c>
      <c r="F164" s="6">
        <f>J164+N164+R164+V164</f>
        <v/>
      </c>
      <c r="G164" s="6">
        <f>K164+O164+S164+W164</f>
        <v/>
      </c>
      <c r="H164" s="6">
        <f>L164+P164+T164+X164</f>
        <v/>
      </c>
      <c r="I164" s="7">
        <f>J164/37</f>
        <v/>
      </c>
      <c r="J164" s="6" t="n">
        <v>28</v>
      </c>
      <c r="K164" s="6" t="n">
        <v>7</v>
      </c>
      <c r="L164" s="6" t="n">
        <v>2</v>
      </c>
      <c r="M164" s="7">
        <f>N164/9</f>
        <v/>
      </c>
      <c r="N164" s="6" t="n">
        <v>9</v>
      </c>
      <c r="O164" s="6" t="n">
        <v>0</v>
      </c>
      <c r="P164" s="6" t="n">
        <v>0</v>
      </c>
      <c r="Q164" s="7">
        <f>R164/11</f>
        <v/>
      </c>
      <c r="R164" s="6" t="n">
        <v>7</v>
      </c>
      <c r="S164" s="6" t="n">
        <v>3</v>
      </c>
      <c r="T164" s="6" t="n">
        <v>1</v>
      </c>
      <c r="U164" s="7">
        <f>V164/14</f>
        <v/>
      </c>
      <c r="V164" s="6" t="n">
        <v>2</v>
      </c>
      <c r="W164" s="6" t="n">
        <v>12</v>
      </c>
      <c r="X164" s="6" t="n">
        <v>0</v>
      </c>
      <c r="Y164" s="8" t="n">
        <v>29.94</v>
      </c>
      <c r="Z164" s="9" t="inlineStr">
        <is>
          <t>Success</t>
        </is>
      </c>
      <c r="AA164" s="2" t="inlineStr">
        <is>
          <t>2026-10-09 12:08:18</t>
        </is>
      </c>
    </row>
    <row r="165" ht="21.95" customHeight="1">
      <c r="A165" s="2" t="n">
        <v>164</v>
      </c>
      <c r="B165" s="31" t="inlineStr">
        <is>
          <t>http://www.108engine.com</t>
        </is>
      </c>
      <c r="C165" s="2" t="inlineStr">
        <is>
          <t>ยานยนต์</t>
        </is>
      </c>
      <c r="D165" s="10">
        <f>F165/71</f>
        <v/>
      </c>
      <c r="E165" s="11">
        <f>IF(D165&gt;=0.9,"ดีเยี่ยม",IF(D165&gt;=0.7,"ดี",IF(D165&gt;=0.5,"พอใช้","ต้องปรับปรุง")))</f>
        <v/>
      </c>
      <c r="F165" s="6">
        <f>J165+N165+R165+V165</f>
        <v/>
      </c>
      <c r="G165" s="6">
        <f>K165+O165+S165+W165</f>
        <v/>
      </c>
      <c r="H165" s="6">
        <f>L165+P165+T165+X165</f>
        <v/>
      </c>
      <c r="I165" s="7">
        <f>J165/37</f>
        <v/>
      </c>
      <c r="J165" s="6" t="n">
        <v>33</v>
      </c>
      <c r="K165" s="6" t="n">
        <v>3</v>
      </c>
      <c r="L165" s="6" t="n">
        <v>1</v>
      </c>
      <c r="M165" s="7">
        <f>N165/9</f>
        <v/>
      </c>
      <c r="N165" s="6" t="n">
        <v>6</v>
      </c>
      <c r="O165" s="6" t="n">
        <v>3</v>
      </c>
      <c r="P165" s="6" t="n">
        <v>0</v>
      </c>
      <c r="Q165" s="7">
        <f>R165/11</f>
        <v/>
      </c>
      <c r="R165" s="6" t="n">
        <v>4</v>
      </c>
      <c r="S165" s="6" t="n">
        <v>4</v>
      </c>
      <c r="T165" s="6" t="n">
        <v>3</v>
      </c>
      <c r="U165" s="7">
        <f>V165/14</f>
        <v/>
      </c>
      <c r="V165" s="6" t="n">
        <v>1</v>
      </c>
      <c r="W165" s="6" t="n">
        <v>12</v>
      </c>
      <c r="X165" s="6" t="n">
        <v>1</v>
      </c>
      <c r="Y165" s="8" t="n">
        <v>19.73</v>
      </c>
      <c r="Z165" s="9" t="inlineStr">
        <is>
          <t>Success</t>
        </is>
      </c>
      <c r="AA165" s="2" t="inlineStr">
        <is>
          <t>2026-10-08 19:01:45</t>
        </is>
      </c>
    </row>
    <row r="166" ht="21.95" customHeight="1">
      <c r="A166" s="2" t="n">
        <v>165</v>
      </c>
      <c r="B166" s="31" t="inlineStr">
        <is>
          <t>http://www.jtdic.com</t>
        </is>
      </c>
      <c r="C166" s="2" t="inlineStr">
        <is>
          <t>การศึกษา</t>
        </is>
      </c>
      <c r="D166" s="25">
        <f>F166/71</f>
        <v/>
      </c>
      <c r="E166" s="26">
        <f>IF(D166&gt;=0.9,"ดีเยี่ยม",IF(D166&gt;=0.7,"ดี",IF(D166&gt;=0.5,"พอใช้","ต้องปรับปรุง")))</f>
        <v/>
      </c>
      <c r="F166" s="6">
        <f>J166+N166+R166+V166</f>
        <v/>
      </c>
      <c r="G166" s="6">
        <f>K166+O166+S166+W166</f>
        <v/>
      </c>
      <c r="H166" s="6">
        <f>L166+P166+T166+X166</f>
        <v/>
      </c>
      <c r="I166" s="7">
        <f>J166/37</f>
        <v/>
      </c>
      <c r="J166" s="6" t="n">
        <v>0</v>
      </c>
      <c r="K166" s="6" t="n">
        <v>37</v>
      </c>
      <c r="L166" s="6" t="n">
        <v>0</v>
      </c>
      <c r="M166" s="7">
        <f>N166/9</f>
        <v/>
      </c>
      <c r="N166" s="6" t="n">
        <v>0</v>
      </c>
      <c r="O166" s="6" t="n">
        <v>9</v>
      </c>
      <c r="P166" s="6" t="n">
        <v>0</v>
      </c>
      <c r="Q166" s="7">
        <f>R166/11</f>
        <v/>
      </c>
      <c r="R166" s="6" t="n">
        <v>0</v>
      </c>
      <c r="S166" s="6" t="n">
        <v>11</v>
      </c>
      <c r="T166" s="6" t="n">
        <v>0</v>
      </c>
      <c r="U166" s="7">
        <f>V166/14</f>
        <v/>
      </c>
      <c r="V166" s="6" t="n">
        <v>0</v>
      </c>
      <c r="W166" s="6" t="n">
        <v>14</v>
      </c>
      <c r="X166" s="6" t="n">
        <v>0</v>
      </c>
      <c r="Y166" s="8" t="n">
        <v>12.81</v>
      </c>
      <c r="Z166" s="27" t="inlineStr">
        <is>
          <t>Failed (จอขาว / ไม่มีเนื้อหา (Blank Screen))</t>
        </is>
      </c>
      <c r="AA166" s="2" t="inlineStr">
        <is>
          <t>2026-10-21 00:13:37</t>
        </is>
      </c>
    </row>
    <row r="167" ht="21.95" customHeight="1">
      <c r="A167" s="2" t="n">
        <v>166</v>
      </c>
      <c r="B167" s="31" t="inlineStr">
        <is>
          <t>http://thaigold.info</t>
        </is>
      </c>
      <c r="C167" s="2" t="inlineStr">
        <is>
          <t>ธนาคาร-การเงิน</t>
        </is>
      </c>
      <c r="D167" s="10">
        <f>F167/71</f>
        <v/>
      </c>
      <c r="E167" s="11">
        <f>IF(D167&gt;=0.9,"ดีเยี่ยม",IF(D167&gt;=0.7,"ดี",IF(D167&gt;=0.5,"พอใช้","ต้องปรับปรุง")))</f>
        <v/>
      </c>
      <c r="F167" s="6">
        <f>J167+N167+R167+V167</f>
        <v/>
      </c>
      <c r="G167" s="6">
        <f>K167+O167+S167+W167</f>
        <v/>
      </c>
      <c r="H167" s="6">
        <f>L167+P167+T167+X167</f>
        <v/>
      </c>
      <c r="I167" s="7">
        <f>J167/37</f>
        <v/>
      </c>
      <c r="J167" s="6" t="n">
        <v>31</v>
      </c>
      <c r="K167" s="6" t="n">
        <v>6</v>
      </c>
      <c r="L167" s="6" t="n">
        <v>0</v>
      </c>
      <c r="M167" s="7">
        <f>N167/9</f>
        <v/>
      </c>
      <c r="N167" s="6" t="n">
        <v>6</v>
      </c>
      <c r="O167" s="6" t="n">
        <v>3</v>
      </c>
      <c r="P167" s="6" t="n">
        <v>0</v>
      </c>
      <c r="Q167" s="7">
        <f>R167/11</f>
        <v/>
      </c>
      <c r="R167" s="6" t="n">
        <v>4</v>
      </c>
      <c r="S167" s="6" t="n">
        <v>3</v>
      </c>
      <c r="T167" s="6" t="n">
        <v>4</v>
      </c>
      <c r="U167" s="7">
        <f>V167/14</f>
        <v/>
      </c>
      <c r="V167" s="6" t="n">
        <v>2</v>
      </c>
      <c r="W167" s="6" t="n">
        <v>12</v>
      </c>
      <c r="X167" s="6" t="n">
        <v>0</v>
      </c>
      <c r="Y167" s="8" t="n">
        <v>31.25</v>
      </c>
      <c r="Z167" s="9" t="inlineStr">
        <is>
          <t>Success</t>
        </is>
      </c>
      <c r="AA167" s="2" t="inlineStr">
        <is>
          <t>2026-10-08 19:02:44</t>
        </is>
      </c>
    </row>
    <row r="168" ht="21.95" customHeight="1">
      <c r="A168" s="2" t="n">
        <v>167</v>
      </c>
      <c r="B168" s="31" t="inlineStr">
        <is>
          <t>http://www.moj.go.th</t>
        </is>
      </c>
      <c r="C168" s="2" t="inlineStr">
        <is>
          <t>หน่วยงานราชการ,องค์กร</t>
        </is>
      </c>
      <c r="D168" s="4">
        <f>F168/71</f>
        <v/>
      </c>
      <c r="E168" s="5">
        <f>IF(D168&gt;=0.9,"ดีเยี่ยม",IF(D168&gt;=0.7,"ดี",IF(D168&gt;=0.5,"พอใช้","ต้องปรับปรุง")))</f>
        <v/>
      </c>
      <c r="F168" s="6">
        <f>J168+N168+R168+V168</f>
        <v/>
      </c>
      <c r="G168" s="6">
        <f>K168+O168+S168+W168</f>
        <v/>
      </c>
      <c r="H168" s="6">
        <f>L168+P168+T168+X168</f>
        <v/>
      </c>
      <c r="I168" s="7">
        <f>J168/37</f>
        <v/>
      </c>
      <c r="J168" s="6" t="n">
        <v>37</v>
      </c>
      <c r="K168" s="6" t="n">
        <v>0</v>
      </c>
      <c r="L168" s="6" t="n">
        <v>0</v>
      </c>
      <c r="M168" s="7">
        <f>N168/9</f>
        <v/>
      </c>
      <c r="N168" s="6" t="n">
        <v>7</v>
      </c>
      <c r="O168" s="6" t="n">
        <v>2</v>
      </c>
      <c r="P168" s="6" t="n">
        <v>0</v>
      </c>
      <c r="Q168" s="7">
        <f>R168/11</f>
        <v/>
      </c>
      <c r="R168" s="6" t="n">
        <v>8</v>
      </c>
      <c r="S168" s="6" t="n">
        <v>2</v>
      </c>
      <c r="T168" s="6" t="n">
        <v>1</v>
      </c>
      <c r="U168" s="7">
        <f>V168/14</f>
        <v/>
      </c>
      <c r="V168" s="6" t="n">
        <v>3</v>
      </c>
      <c r="W168" s="6" t="n">
        <v>11</v>
      </c>
      <c r="X168" s="6" t="n">
        <v>0</v>
      </c>
      <c r="Y168" s="8" t="n">
        <v>15.31</v>
      </c>
      <c r="Z168" s="9" t="inlineStr">
        <is>
          <t>Success</t>
        </is>
      </c>
      <c r="AA168" s="2" t="inlineStr">
        <is>
          <t>2026-10-08 19:02:59</t>
        </is>
      </c>
    </row>
    <row r="169" ht="21.95" customHeight="1">
      <c r="A169" s="2" t="n">
        <v>168</v>
      </c>
      <c r="B169" s="31" t="inlineStr">
        <is>
          <t>http://www.thaitrainingzone.com</t>
        </is>
      </c>
      <c r="C169" s="2" t="inlineStr">
        <is>
          <t>การศึกษา</t>
        </is>
      </c>
      <c r="D169" s="10">
        <f>F169/71</f>
        <v/>
      </c>
      <c r="E169" s="11">
        <f>IF(D169&gt;=0.9,"ดีเยี่ยม",IF(D169&gt;=0.7,"ดี",IF(D169&gt;=0.5,"พอใช้","ต้องปรับปรุง")))</f>
        <v/>
      </c>
      <c r="F169" s="6">
        <f>J169+N169+R169+V169</f>
        <v/>
      </c>
      <c r="G169" s="6">
        <f>K169+O169+S169+W169</f>
        <v/>
      </c>
      <c r="H169" s="6">
        <f>L169+P169+T169+X169</f>
        <v/>
      </c>
      <c r="I169" s="7">
        <f>J169/37</f>
        <v/>
      </c>
      <c r="J169" s="6" t="n">
        <v>32</v>
      </c>
      <c r="K169" s="6" t="n">
        <v>5</v>
      </c>
      <c r="L169" s="6" t="n">
        <v>0</v>
      </c>
      <c r="M169" s="7">
        <f>N169/9</f>
        <v/>
      </c>
      <c r="N169" s="6" t="n">
        <v>8</v>
      </c>
      <c r="O169" s="6" t="n">
        <v>1</v>
      </c>
      <c r="P169" s="6" t="n">
        <v>0</v>
      </c>
      <c r="Q169" s="7">
        <f>R169/11</f>
        <v/>
      </c>
      <c r="R169" s="6" t="n">
        <v>4</v>
      </c>
      <c r="S169" s="6" t="n">
        <v>3</v>
      </c>
      <c r="T169" s="6" t="n">
        <v>4</v>
      </c>
      <c r="U169" s="7">
        <f>V169/14</f>
        <v/>
      </c>
      <c r="V169" s="6" t="n">
        <v>3</v>
      </c>
      <c r="W169" s="6" t="n">
        <v>10</v>
      </c>
      <c r="X169" s="6" t="n">
        <v>1</v>
      </c>
      <c r="Y169" s="8" t="n">
        <v>20.87</v>
      </c>
      <c r="Z169" s="9" t="inlineStr">
        <is>
          <t>Success</t>
        </is>
      </c>
      <c r="AA169" s="2" t="inlineStr">
        <is>
          <t>2026-10-08 19:03:20</t>
        </is>
      </c>
    </row>
    <row r="170" ht="21.95" customHeight="1">
      <c r="A170" s="2" t="n">
        <v>169</v>
      </c>
      <c r="B170" s="31" t="inlineStr">
        <is>
          <t>http://www.npc-se.co.th</t>
        </is>
      </c>
      <c r="C170" s="2" t="inlineStr">
        <is>
          <t>การศึกษา</t>
        </is>
      </c>
      <c r="D170" s="4">
        <f>F170/71</f>
        <v/>
      </c>
      <c r="E170" s="5">
        <f>IF(D170&gt;=0.9,"ดีเยี่ยม",IF(D170&gt;=0.7,"ดี",IF(D170&gt;=0.5,"พอใช้","ต้องปรับปรุง")))</f>
        <v/>
      </c>
      <c r="F170" s="6">
        <f>J170+N170+R170+V170</f>
        <v/>
      </c>
      <c r="G170" s="6">
        <f>K170+O170+S170+W170</f>
        <v/>
      </c>
      <c r="H170" s="6">
        <f>L170+P170+T170+X170</f>
        <v/>
      </c>
      <c r="I170" s="7">
        <f>J170/37</f>
        <v/>
      </c>
      <c r="J170" s="6" t="n">
        <v>36</v>
      </c>
      <c r="K170" s="6" t="n">
        <v>0</v>
      </c>
      <c r="L170" s="6" t="n">
        <v>1</v>
      </c>
      <c r="M170" s="7">
        <f>N170/9</f>
        <v/>
      </c>
      <c r="N170" s="6" t="n">
        <v>7</v>
      </c>
      <c r="O170" s="6" t="n">
        <v>2</v>
      </c>
      <c r="P170" s="6" t="n">
        <v>0</v>
      </c>
      <c r="Q170" s="7">
        <f>R170/11</f>
        <v/>
      </c>
      <c r="R170" s="6" t="n">
        <v>6</v>
      </c>
      <c r="S170" s="6" t="n">
        <v>1</v>
      </c>
      <c r="T170" s="6" t="n">
        <v>4</v>
      </c>
      <c r="U170" s="7">
        <f>V170/14</f>
        <v/>
      </c>
      <c r="V170" s="6" t="n">
        <v>8</v>
      </c>
      <c r="W170" s="6" t="n">
        <v>6</v>
      </c>
      <c r="X170" s="6" t="n">
        <v>0</v>
      </c>
      <c r="Y170" s="8" t="n">
        <v>48.76</v>
      </c>
      <c r="Z170" s="9" t="inlineStr">
        <is>
          <t>Success</t>
        </is>
      </c>
      <c r="AA170" s="2" t="inlineStr">
        <is>
          <t>2026-10-08 19:04:09</t>
        </is>
      </c>
    </row>
    <row r="171" ht="21.95" customHeight="1">
      <c r="A171" s="2" t="n">
        <v>170</v>
      </c>
      <c r="B171" s="31" t="inlineStr">
        <is>
          <t>http://www.taradnud24.com</t>
        </is>
      </c>
      <c r="C171" s="2" t="inlineStr">
        <is>
          <t>ช๊อปปิ้ง</t>
        </is>
      </c>
      <c r="D171" s="4">
        <f>F171/71</f>
        <v/>
      </c>
      <c r="E171" s="5">
        <f>IF(D171&gt;=0.9,"ดีเยี่ยม",IF(D171&gt;=0.7,"ดี",IF(D171&gt;=0.5,"พอใช้","ต้องปรับปรุง")))</f>
        <v/>
      </c>
      <c r="F171" s="6">
        <f>J171+N171+R171+V171</f>
        <v/>
      </c>
      <c r="G171" s="6">
        <f>K171+O171+S171+W171</f>
        <v/>
      </c>
      <c r="H171" s="6">
        <f>L171+P171+T171+X171</f>
        <v/>
      </c>
      <c r="I171" s="7">
        <f>J171/37</f>
        <v/>
      </c>
      <c r="J171" s="6" t="n">
        <v>37</v>
      </c>
      <c r="K171" s="6" t="n">
        <v>0</v>
      </c>
      <c r="L171" s="6" t="n">
        <v>0</v>
      </c>
      <c r="M171" s="7">
        <f>N171/9</f>
        <v/>
      </c>
      <c r="N171" s="6" t="n">
        <v>9</v>
      </c>
      <c r="O171" s="6" t="n">
        <v>0</v>
      </c>
      <c r="P171" s="6" t="n">
        <v>0</v>
      </c>
      <c r="Q171" s="7">
        <f>R171/11</f>
        <v/>
      </c>
      <c r="R171" s="6" t="n">
        <v>7</v>
      </c>
      <c r="S171" s="6" t="n">
        <v>2</v>
      </c>
      <c r="T171" s="6" t="n">
        <v>2</v>
      </c>
      <c r="U171" s="7">
        <f>V171/14</f>
        <v/>
      </c>
      <c r="V171" s="6" t="n">
        <v>9</v>
      </c>
      <c r="W171" s="6" t="n">
        <v>4</v>
      </c>
      <c r="X171" s="6" t="n">
        <v>1</v>
      </c>
      <c r="Y171" s="8" t="n">
        <v>8.890000000000001</v>
      </c>
      <c r="Z171" s="9" t="inlineStr">
        <is>
          <t>Success</t>
        </is>
      </c>
      <c r="AA171" s="2" t="inlineStr">
        <is>
          <t>2026-10-08 19:04:18</t>
        </is>
      </c>
    </row>
    <row r="172" ht="21.95" customHeight="1">
      <c r="A172" s="2" t="n">
        <v>171</v>
      </c>
      <c r="B172" s="31" t="inlineStr">
        <is>
          <t>http://www.smartsme.co.th</t>
        </is>
      </c>
      <c r="C172" s="2" t="inlineStr">
        <is>
          <t>ข่าว-สื่อ</t>
        </is>
      </c>
      <c r="D172" s="10">
        <f>F172/71</f>
        <v/>
      </c>
      <c r="E172" s="11">
        <f>IF(D172&gt;=0.9,"ดีเยี่ยม",IF(D172&gt;=0.7,"ดี",IF(D172&gt;=0.5,"พอใช้","ต้องปรับปรุง")))</f>
        <v/>
      </c>
      <c r="F172" s="6">
        <f>J172+N172+R172+V172</f>
        <v/>
      </c>
      <c r="G172" s="6">
        <f>K172+O172+S172+W172</f>
        <v/>
      </c>
      <c r="H172" s="6">
        <f>L172+P172+T172+X172</f>
        <v/>
      </c>
      <c r="I172" s="7">
        <f>J172/37</f>
        <v/>
      </c>
      <c r="J172" s="6" t="n">
        <v>33</v>
      </c>
      <c r="K172" s="6" t="n">
        <v>4</v>
      </c>
      <c r="L172" s="6" t="n">
        <v>0</v>
      </c>
      <c r="M172" s="7">
        <f>N172/9</f>
        <v/>
      </c>
      <c r="N172" s="6" t="n">
        <v>8</v>
      </c>
      <c r="O172" s="6" t="n">
        <v>1</v>
      </c>
      <c r="P172" s="6" t="n">
        <v>0</v>
      </c>
      <c r="Q172" s="7">
        <f>R172/11</f>
        <v/>
      </c>
      <c r="R172" s="6" t="n">
        <v>3</v>
      </c>
      <c r="S172" s="6" t="n">
        <v>4</v>
      </c>
      <c r="T172" s="6" t="n">
        <v>4</v>
      </c>
      <c r="U172" s="7">
        <f>V172/14</f>
        <v/>
      </c>
      <c r="V172" s="6" t="n">
        <v>1</v>
      </c>
      <c r="W172" s="6" t="n">
        <v>13</v>
      </c>
      <c r="X172" s="6" t="n">
        <v>0</v>
      </c>
      <c r="Y172" s="8" t="n">
        <v>24.68</v>
      </c>
      <c r="Z172" s="9" t="inlineStr">
        <is>
          <t>Success</t>
        </is>
      </c>
      <c r="AA172" s="2" t="inlineStr">
        <is>
          <t>2026-10-08 19:04:42</t>
        </is>
      </c>
    </row>
    <row r="173" ht="21.95" customHeight="1">
      <c r="A173" s="2" t="n">
        <v>172</v>
      </c>
      <c r="B173" s="31" t="inlineStr">
        <is>
          <t>http://www.mocyc.com</t>
        </is>
      </c>
      <c r="C173" s="2" t="inlineStr">
        <is>
          <t>ยานยนต์</t>
        </is>
      </c>
      <c r="D173" s="10">
        <f>F173/71</f>
        <v/>
      </c>
      <c r="E173" s="11">
        <f>IF(D173&gt;=0.9,"ดีเยี่ยม",IF(D173&gt;=0.7,"ดี",IF(D173&gt;=0.5,"พอใช้","ต้องปรับปรุง")))</f>
        <v/>
      </c>
      <c r="F173" s="6">
        <f>J173+N173+R173+V173</f>
        <v/>
      </c>
      <c r="G173" s="6">
        <f>K173+O173+S173+W173</f>
        <v/>
      </c>
      <c r="H173" s="6">
        <f>L173+P173+T173+X173</f>
        <v/>
      </c>
      <c r="I173" s="7">
        <f>J173/37</f>
        <v/>
      </c>
      <c r="J173" s="6" t="n">
        <v>31</v>
      </c>
      <c r="K173" s="6" t="n">
        <v>5</v>
      </c>
      <c r="L173" s="6" t="n">
        <v>1</v>
      </c>
      <c r="M173" s="7">
        <f>N173/9</f>
        <v/>
      </c>
      <c r="N173" s="6" t="n">
        <v>6</v>
      </c>
      <c r="O173" s="6" t="n">
        <v>3</v>
      </c>
      <c r="P173" s="6" t="n">
        <v>0</v>
      </c>
      <c r="Q173" s="7">
        <f>R173/11</f>
        <v/>
      </c>
      <c r="R173" s="6" t="n">
        <v>1</v>
      </c>
      <c r="S173" s="6" t="n">
        <v>4</v>
      </c>
      <c r="T173" s="6" t="n">
        <v>6</v>
      </c>
      <c r="U173" s="7">
        <f>V173/14</f>
        <v/>
      </c>
      <c r="V173" s="6" t="n">
        <v>2</v>
      </c>
      <c r="W173" s="6" t="n">
        <v>12</v>
      </c>
      <c r="X173" s="6" t="n">
        <v>0</v>
      </c>
      <c r="Y173" s="8" t="n">
        <v>88.5</v>
      </c>
      <c r="Z173" s="9" t="inlineStr">
        <is>
          <t>Success</t>
        </is>
      </c>
      <c r="AA173" s="2" t="inlineStr">
        <is>
          <t>2026-10-08 19:06:11</t>
        </is>
      </c>
    </row>
    <row r="174" ht="21.95" customHeight="1">
      <c r="A174" s="2" t="n">
        <v>173</v>
      </c>
      <c r="B174" s="31" t="inlineStr">
        <is>
          <t>http://www.igetweb.com</t>
        </is>
      </c>
      <c r="C174" s="2" t="inlineStr">
        <is>
          <t>อินเทอร์เน็ต</t>
        </is>
      </c>
      <c r="D174" s="10">
        <f>F174/71</f>
        <v/>
      </c>
      <c r="E174" s="11">
        <f>IF(D174&gt;=0.9,"ดีเยี่ยม",IF(D174&gt;=0.7,"ดี",IF(D174&gt;=0.5,"พอใช้","ต้องปรับปรุง")))</f>
        <v/>
      </c>
      <c r="F174" s="6">
        <f>J174+N174+R174+V174</f>
        <v/>
      </c>
      <c r="G174" s="6">
        <f>K174+O174+S174+W174</f>
        <v/>
      </c>
      <c r="H174" s="6">
        <f>L174+P174+T174+X174</f>
        <v/>
      </c>
      <c r="I174" s="7">
        <f>J174/37</f>
        <v/>
      </c>
      <c r="J174" s="6" t="n">
        <v>31</v>
      </c>
      <c r="K174" s="6" t="n">
        <v>4</v>
      </c>
      <c r="L174" s="6" t="n">
        <v>2</v>
      </c>
      <c r="M174" s="7">
        <f>N174/9</f>
        <v/>
      </c>
      <c r="N174" s="6" t="n">
        <v>7</v>
      </c>
      <c r="O174" s="6" t="n">
        <v>2</v>
      </c>
      <c r="P174" s="6" t="n">
        <v>0</v>
      </c>
      <c r="Q174" s="7">
        <f>R174/11</f>
        <v/>
      </c>
      <c r="R174" s="6" t="n">
        <v>3</v>
      </c>
      <c r="S174" s="6" t="n">
        <v>4</v>
      </c>
      <c r="T174" s="6" t="n">
        <v>4</v>
      </c>
      <c r="U174" s="7">
        <f>V174/14</f>
        <v/>
      </c>
      <c r="V174" s="6" t="n">
        <v>1</v>
      </c>
      <c r="W174" s="6" t="n">
        <v>12</v>
      </c>
      <c r="X174" s="6" t="n">
        <v>1</v>
      </c>
      <c r="Y174" s="8" t="n">
        <v>20.66</v>
      </c>
      <c r="Z174" s="9" t="inlineStr">
        <is>
          <t>Success</t>
        </is>
      </c>
      <c r="AA174" s="2" t="inlineStr">
        <is>
          <t>2026-10-08 19:06:32</t>
        </is>
      </c>
    </row>
    <row r="175" ht="21.95" customHeight="1">
      <c r="A175" s="2" t="n">
        <v>174</v>
      </c>
      <c r="B175" s="31" t="inlineStr">
        <is>
          <t>http://www.doisaengdham.org</t>
        </is>
      </c>
      <c r="C175" s="2" t="inlineStr">
        <is>
          <t>ศิลปะ-วัฒนธรรม</t>
        </is>
      </c>
      <c r="D175" s="10">
        <f>F175/71</f>
        <v/>
      </c>
      <c r="E175" s="11">
        <f>IF(D175&gt;=0.9,"ดีเยี่ยม",IF(D175&gt;=0.7,"ดี",IF(D175&gt;=0.5,"พอใช้","ต้องปรับปรุง")))</f>
        <v/>
      </c>
      <c r="F175" s="6">
        <f>J175+N175+R175+V175</f>
        <v/>
      </c>
      <c r="G175" s="6">
        <f>K175+O175+S175+W175</f>
        <v/>
      </c>
      <c r="H175" s="6">
        <f>L175+P175+T175+X175</f>
        <v/>
      </c>
      <c r="I175" s="7">
        <f>J175/37</f>
        <v/>
      </c>
      <c r="J175" s="6" t="n">
        <v>31</v>
      </c>
      <c r="K175" s="6" t="n">
        <v>4</v>
      </c>
      <c r="L175" s="6" t="n">
        <v>2</v>
      </c>
      <c r="M175" s="7">
        <f>N175/9</f>
        <v/>
      </c>
      <c r="N175" s="6" t="n">
        <v>7</v>
      </c>
      <c r="O175" s="6" t="n">
        <v>2</v>
      </c>
      <c r="P175" s="6" t="n">
        <v>0</v>
      </c>
      <c r="Q175" s="7">
        <f>R175/11</f>
        <v/>
      </c>
      <c r="R175" s="6" t="n">
        <v>5</v>
      </c>
      <c r="S175" s="6" t="n">
        <v>2</v>
      </c>
      <c r="T175" s="6" t="n">
        <v>4</v>
      </c>
      <c r="U175" s="7">
        <f>V175/14</f>
        <v/>
      </c>
      <c r="V175" s="6" t="n">
        <v>4</v>
      </c>
      <c r="W175" s="6" t="n">
        <v>10</v>
      </c>
      <c r="X175" s="6" t="n">
        <v>0</v>
      </c>
      <c r="Y175" s="8" t="n">
        <v>19.84</v>
      </c>
      <c r="Z175" s="9" t="inlineStr">
        <is>
          <t>Success</t>
        </is>
      </c>
      <c r="AA175" s="2" t="inlineStr">
        <is>
          <t>2026-10-08 19:06:51</t>
        </is>
      </c>
    </row>
    <row r="176" ht="21.95" customHeight="1">
      <c r="A176" s="2" t="n">
        <v>175</v>
      </c>
      <c r="B176" s="31" t="inlineStr">
        <is>
          <t>http://thereporters.co</t>
        </is>
      </c>
      <c r="C176" s="2" t="inlineStr">
        <is>
          <t>ข่าว-สื่อ</t>
        </is>
      </c>
      <c r="D176" s="10">
        <f>F176/71</f>
        <v/>
      </c>
      <c r="E176" s="11">
        <f>IF(D176&gt;=0.9,"ดีเยี่ยม",IF(D176&gt;=0.7,"ดี",IF(D176&gt;=0.5,"พอใช้","ต้องปรับปรุง")))</f>
        <v/>
      </c>
      <c r="F176" s="6">
        <f>J176+N176+R176+V176</f>
        <v/>
      </c>
      <c r="G176" s="6">
        <f>K176+O176+S176+W176</f>
        <v/>
      </c>
      <c r="H176" s="6">
        <f>L176+P176+T176+X176</f>
        <v/>
      </c>
      <c r="I176" s="7">
        <f>J176/37</f>
        <v/>
      </c>
      <c r="J176" s="6" t="n">
        <v>34</v>
      </c>
      <c r="K176" s="6" t="n">
        <v>2</v>
      </c>
      <c r="L176" s="6" t="n">
        <v>1</v>
      </c>
      <c r="M176" s="7">
        <f>N176/9</f>
        <v/>
      </c>
      <c r="N176" s="6" t="n">
        <v>8</v>
      </c>
      <c r="O176" s="6" t="n">
        <v>1</v>
      </c>
      <c r="P176" s="6" t="n">
        <v>0</v>
      </c>
      <c r="Q176" s="7">
        <f>R176/11</f>
        <v/>
      </c>
      <c r="R176" s="6" t="n">
        <v>5</v>
      </c>
      <c r="S176" s="6" t="n">
        <v>3</v>
      </c>
      <c r="T176" s="6" t="n">
        <v>3</v>
      </c>
      <c r="U176" s="7">
        <f>V176/14</f>
        <v/>
      </c>
      <c r="V176" s="6" t="n">
        <v>2</v>
      </c>
      <c r="W176" s="6" t="n">
        <v>12</v>
      </c>
      <c r="X176" s="6" t="n">
        <v>0</v>
      </c>
      <c r="Y176" s="8" t="n">
        <v>32.51</v>
      </c>
      <c r="Z176" s="9" t="inlineStr">
        <is>
          <t>Success</t>
        </is>
      </c>
      <c r="AA176" s="2" t="inlineStr">
        <is>
          <t>2026-10-08 19:07:24</t>
        </is>
      </c>
    </row>
    <row r="177" ht="21.95" customHeight="1">
      <c r="A177" s="2" t="n">
        <v>176</v>
      </c>
      <c r="B177" s="31" t="inlineStr">
        <is>
          <t>http://roonnhaidee.com</t>
        </is>
      </c>
      <c r="C177" s="2" t="inlineStr">
        <is>
          <t>ช๊อปปิ้ง</t>
        </is>
      </c>
      <c r="D177" s="4">
        <f>F177/71</f>
        <v/>
      </c>
      <c r="E177" s="5">
        <f>IF(D177&gt;=0.9,"ดีเยี่ยม",IF(D177&gt;=0.7,"ดี",IF(D177&gt;=0.5,"พอใช้","ต้องปรับปรุง")))</f>
        <v/>
      </c>
      <c r="F177" s="6">
        <f>J177+N177+R177+V177</f>
        <v/>
      </c>
      <c r="G177" s="6">
        <f>K177+O177+S177+W177</f>
        <v/>
      </c>
      <c r="H177" s="6">
        <f>L177+P177+T177+X177</f>
        <v/>
      </c>
      <c r="I177" s="7">
        <f>J177/37</f>
        <v/>
      </c>
      <c r="J177" s="6" t="n">
        <v>36</v>
      </c>
      <c r="K177" s="6" t="n">
        <v>0</v>
      </c>
      <c r="L177" s="6" t="n">
        <v>1</v>
      </c>
      <c r="M177" s="7">
        <f>N177/9</f>
        <v/>
      </c>
      <c r="N177" s="6" t="n">
        <v>6</v>
      </c>
      <c r="O177" s="6" t="n">
        <v>2</v>
      </c>
      <c r="P177" s="6" t="n">
        <v>1</v>
      </c>
      <c r="Q177" s="7">
        <f>R177/11</f>
        <v/>
      </c>
      <c r="R177" s="6" t="n">
        <v>5</v>
      </c>
      <c r="S177" s="6" t="n">
        <v>2</v>
      </c>
      <c r="T177" s="6" t="n">
        <v>4</v>
      </c>
      <c r="U177" s="7">
        <f>V177/14</f>
        <v/>
      </c>
      <c r="V177" s="6" t="n">
        <v>4</v>
      </c>
      <c r="W177" s="6" t="n">
        <v>10</v>
      </c>
      <c r="X177" s="6" t="n">
        <v>0</v>
      </c>
      <c r="Y177" s="8" t="n">
        <v>19.15</v>
      </c>
      <c r="Z177" s="9" t="inlineStr">
        <is>
          <t>Success</t>
        </is>
      </c>
      <c r="AA177" s="2" t="inlineStr">
        <is>
          <t>2026-10-08 19:07:43</t>
        </is>
      </c>
    </row>
    <row r="178" ht="21.95" customHeight="1">
      <c r="A178" s="2" t="n">
        <v>177</v>
      </c>
      <c r="B178" s="31" t="inlineStr">
        <is>
          <t>http://www.thaismescenter.com</t>
        </is>
      </c>
      <c r="C178" s="2" t="inlineStr">
        <is>
          <t>ธุรกิจ</t>
        </is>
      </c>
      <c r="D178" s="10">
        <f>F178/71</f>
        <v/>
      </c>
      <c r="E178" s="11">
        <f>IF(D178&gt;=0.9,"ดีเยี่ยม",IF(D178&gt;=0.7,"ดี",IF(D178&gt;=0.5,"พอใช้","ต้องปรับปรุง")))</f>
        <v/>
      </c>
      <c r="F178" s="6">
        <f>J178+N178+R178+V178</f>
        <v/>
      </c>
      <c r="G178" s="6">
        <f>K178+O178+S178+W178</f>
        <v/>
      </c>
      <c r="H178" s="6">
        <f>L178+P178+T178+X178</f>
        <v/>
      </c>
      <c r="I178" s="7">
        <f>J178/37</f>
        <v/>
      </c>
      <c r="J178" s="6" t="n">
        <v>31</v>
      </c>
      <c r="K178" s="6" t="n">
        <v>6</v>
      </c>
      <c r="L178" s="6" t="n">
        <v>0</v>
      </c>
      <c r="M178" s="7">
        <f>N178/9</f>
        <v/>
      </c>
      <c r="N178" s="6" t="n">
        <v>8</v>
      </c>
      <c r="O178" s="6" t="n">
        <v>1</v>
      </c>
      <c r="P178" s="6" t="n">
        <v>0</v>
      </c>
      <c r="Q178" s="7">
        <f>R178/11</f>
        <v/>
      </c>
      <c r="R178" s="6" t="n">
        <v>5</v>
      </c>
      <c r="S178" s="6" t="n">
        <v>2</v>
      </c>
      <c r="T178" s="6" t="n">
        <v>4</v>
      </c>
      <c r="U178" s="7">
        <f>V178/14</f>
        <v/>
      </c>
      <c r="V178" s="6" t="n">
        <v>3</v>
      </c>
      <c r="W178" s="6" t="n">
        <v>11</v>
      </c>
      <c r="X178" s="6" t="n">
        <v>0</v>
      </c>
      <c r="Y178" s="8" t="n">
        <v>26.67</v>
      </c>
      <c r="Z178" s="9" t="inlineStr">
        <is>
          <t>Success</t>
        </is>
      </c>
      <c r="AA178" s="2" t="inlineStr">
        <is>
          <t>2026-10-08 19:08:10</t>
        </is>
      </c>
    </row>
    <row r="179" ht="21.95" customHeight="1">
      <c r="A179" s="2" t="n">
        <v>178</v>
      </c>
      <c r="B179" s="31" t="inlineStr">
        <is>
          <t>http://www.otp.go.th</t>
        </is>
      </c>
      <c r="C179" s="2" t="inlineStr">
        <is>
          <t>หน่วยงานราชการ,องค์กร</t>
        </is>
      </c>
      <c r="D179" s="10">
        <f>F179/71</f>
        <v/>
      </c>
      <c r="E179" s="11">
        <f>IF(D179&gt;=0.9,"ดีเยี่ยม",IF(D179&gt;=0.7,"ดี",IF(D179&gt;=0.5,"พอใช้","ต้องปรับปรุง")))</f>
        <v/>
      </c>
      <c r="F179" s="6">
        <f>J179+N179+R179+V179</f>
        <v/>
      </c>
      <c r="G179" s="6">
        <f>K179+O179+S179+W179</f>
        <v/>
      </c>
      <c r="H179" s="6">
        <f>L179+P179+T179+X179</f>
        <v/>
      </c>
      <c r="I179" s="7">
        <f>J179/37</f>
        <v/>
      </c>
      <c r="J179" s="6" t="n">
        <v>33</v>
      </c>
      <c r="K179" s="6" t="n">
        <v>3</v>
      </c>
      <c r="L179" s="6" t="n">
        <v>1</v>
      </c>
      <c r="M179" s="7">
        <f>N179/9</f>
        <v/>
      </c>
      <c r="N179" s="6" t="n">
        <v>8</v>
      </c>
      <c r="O179" s="6" t="n">
        <v>1</v>
      </c>
      <c r="P179" s="6" t="n">
        <v>0</v>
      </c>
      <c r="Q179" s="7">
        <f>R179/11</f>
        <v/>
      </c>
      <c r="R179" s="6" t="n">
        <v>3</v>
      </c>
      <c r="S179" s="6" t="n">
        <v>4</v>
      </c>
      <c r="T179" s="6" t="n">
        <v>4</v>
      </c>
      <c r="U179" s="7">
        <f>V179/14</f>
        <v/>
      </c>
      <c r="V179" s="6" t="n">
        <v>2</v>
      </c>
      <c r="W179" s="6" t="n">
        <v>12</v>
      </c>
      <c r="X179" s="6" t="n">
        <v>0</v>
      </c>
      <c r="Y179" s="8" t="n">
        <v>33.12</v>
      </c>
      <c r="Z179" s="9" t="inlineStr">
        <is>
          <t>Success</t>
        </is>
      </c>
      <c r="AA179" s="2" t="inlineStr">
        <is>
          <t>2026-10-08 19:08:43</t>
        </is>
      </c>
    </row>
    <row r="180" ht="21.95" customHeight="1">
      <c r="A180" s="2" t="n">
        <v>179</v>
      </c>
      <c r="B180" s="31" t="inlineStr">
        <is>
          <t>http://www.bareo.co.th</t>
        </is>
      </c>
      <c r="C180" s="2" t="inlineStr">
        <is>
          <t>อสังหาริมทรัพย์-ก่อสร้าง</t>
        </is>
      </c>
      <c r="D180" s="10">
        <f>F180/71</f>
        <v/>
      </c>
      <c r="E180" s="11">
        <f>IF(D180&gt;=0.9,"ดีเยี่ยม",IF(D180&gt;=0.7,"ดี",IF(D180&gt;=0.5,"พอใช้","ต้องปรับปรุง")))</f>
        <v/>
      </c>
      <c r="F180" s="6">
        <f>J180+N180+R180+V180</f>
        <v/>
      </c>
      <c r="G180" s="6">
        <f>K180+O180+S180+W180</f>
        <v/>
      </c>
      <c r="H180" s="6">
        <f>L180+P180+T180+X180</f>
        <v/>
      </c>
      <c r="I180" s="7">
        <f>J180/37</f>
        <v/>
      </c>
      <c r="J180" s="6" t="n">
        <v>35</v>
      </c>
      <c r="K180" s="6" t="n">
        <v>2</v>
      </c>
      <c r="L180" s="6" t="n">
        <v>0</v>
      </c>
      <c r="M180" s="7">
        <f>N180/9</f>
        <v/>
      </c>
      <c r="N180" s="6" t="n">
        <v>7</v>
      </c>
      <c r="O180" s="6" t="n">
        <v>2</v>
      </c>
      <c r="P180" s="6" t="n">
        <v>0</v>
      </c>
      <c r="Q180" s="7">
        <f>R180/11</f>
        <v/>
      </c>
      <c r="R180" s="6" t="n">
        <v>3</v>
      </c>
      <c r="S180" s="6" t="n">
        <v>4</v>
      </c>
      <c r="T180" s="6" t="n">
        <v>4</v>
      </c>
      <c r="U180" s="7">
        <f>V180/14</f>
        <v/>
      </c>
      <c r="V180" s="6" t="n">
        <v>2</v>
      </c>
      <c r="W180" s="6" t="n">
        <v>12</v>
      </c>
      <c r="X180" s="6" t="n">
        <v>0</v>
      </c>
      <c r="Y180" s="8" t="n">
        <v>32.06</v>
      </c>
      <c r="Z180" s="9" t="inlineStr">
        <is>
          <t>Success</t>
        </is>
      </c>
      <c r="AA180" s="2" t="inlineStr">
        <is>
          <t>2026-10-08 19:09:15</t>
        </is>
      </c>
    </row>
    <row r="181" ht="21.95" customHeight="1">
      <c r="A181" s="2" t="n">
        <v>180</v>
      </c>
      <c r="B181" s="31" t="inlineStr">
        <is>
          <t>http://www.vtabien.com</t>
        </is>
      </c>
      <c r="C181" s="2" t="inlineStr">
        <is>
          <t>ยานยนต์</t>
        </is>
      </c>
      <c r="D181" s="10">
        <f>F181/71</f>
        <v/>
      </c>
      <c r="E181" s="11">
        <f>IF(D181&gt;=0.9,"ดีเยี่ยม",IF(D181&gt;=0.7,"ดี",IF(D181&gt;=0.5,"พอใช้","ต้องปรับปรุง")))</f>
        <v/>
      </c>
      <c r="F181" s="6">
        <f>J181+N181+R181+V181</f>
        <v/>
      </c>
      <c r="G181" s="6">
        <f>K181+O181+S181+W181</f>
        <v/>
      </c>
      <c r="H181" s="6">
        <f>L181+P181+T181+X181</f>
        <v/>
      </c>
      <c r="I181" s="7">
        <f>J181/37</f>
        <v/>
      </c>
      <c r="J181" s="6" t="n">
        <v>35</v>
      </c>
      <c r="K181" s="6" t="n">
        <v>2</v>
      </c>
      <c r="L181" s="6" t="n">
        <v>0</v>
      </c>
      <c r="M181" s="7">
        <f>N181/9</f>
        <v/>
      </c>
      <c r="N181" s="6" t="n">
        <v>8</v>
      </c>
      <c r="O181" s="6" t="n">
        <v>0</v>
      </c>
      <c r="P181" s="6" t="n">
        <v>1</v>
      </c>
      <c r="Q181" s="7">
        <f>R181/11</f>
        <v/>
      </c>
      <c r="R181" s="6" t="n">
        <v>4</v>
      </c>
      <c r="S181" s="6" t="n">
        <v>3</v>
      </c>
      <c r="T181" s="6" t="n">
        <v>4</v>
      </c>
      <c r="U181" s="7">
        <f>V181/14</f>
        <v/>
      </c>
      <c r="V181" s="6" t="n">
        <v>2</v>
      </c>
      <c r="W181" s="6" t="n">
        <v>11</v>
      </c>
      <c r="X181" s="6" t="n">
        <v>1</v>
      </c>
      <c r="Y181" s="8" t="n">
        <v>19.73</v>
      </c>
      <c r="Z181" s="9" t="inlineStr">
        <is>
          <t>Success</t>
        </is>
      </c>
      <c r="AA181" s="2" t="inlineStr">
        <is>
          <t>2026-10-08 19:09:35</t>
        </is>
      </c>
    </row>
    <row r="182" ht="21.95" customHeight="1">
      <c r="A182" s="2" t="n">
        <v>181</v>
      </c>
      <c r="B182" s="31" t="inlineStr">
        <is>
          <t>http://www.taladnudbaan.com</t>
        </is>
      </c>
      <c r="C182" s="2" t="inlineStr">
        <is>
          <t>อสังหาริมทรัพย์-ก่อสร้าง</t>
        </is>
      </c>
      <c r="D182" s="4">
        <f>F182/71</f>
        <v/>
      </c>
      <c r="E182" s="5">
        <f>IF(D182&gt;=0.9,"ดีเยี่ยม",IF(D182&gt;=0.7,"ดี",IF(D182&gt;=0.5,"พอใช้","ต้องปรับปรุง")))</f>
        <v/>
      </c>
      <c r="F182" s="6">
        <f>J182+N182+R182+V182</f>
        <v/>
      </c>
      <c r="G182" s="6">
        <f>K182+O182+S182+W182</f>
        <v/>
      </c>
      <c r="H182" s="6">
        <f>L182+P182+T182+X182</f>
        <v/>
      </c>
      <c r="I182" s="7">
        <f>J182/37</f>
        <v/>
      </c>
      <c r="J182" s="6" t="n">
        <v>37</v>
      </c>
      <c r="K182" s="6" t="n">
        <v>0</v>
      </c>
      <c r="L182" s="6" t="n">
        <v>0</v>
      </c>
      <c r="M182" s="7">
        <f>N182/9</f>
        <v/>
      </c>
      <c r="N182" s="6" t="n">
        <v>7</v>
      </c>
      <c r="O182" s="6" t="n">
        <v>1</v>
      </c>
      <c r="P182" s="6" t="n">
        <v>1</v>
      </c>
      <c r="Q182" s="7">
        <f>R182/11</f>
        <v/>
      </c>
      <c r="R182" s="6" t="n">
        <v>5</v>
      </c>
      <c r="S182" s="6" t="n">
        <v>2</v>
      </c>
      <c r="T182" s="6" t="n">
        <v>4</v>
      </c>
      <c r="U182" s="7">
        <f>V182/14</f>
        <v/>
      </c>
      <c r="V182" s="6" t="n">
        <v>5</v>
      </c>
      <c r="W182" s="6" t="n">
        <v>9</v>
      </c>
      <c r="X182" s="6" t="n">
        <v>0</v>
      </c>
      <c r="Y182" s="8" t="n">
        <v>15.78</v>
      </c>
      <c r="Z182" s="9" t="inlineStr">
        <is>
          <t>Success</t>
        </is>
      </c>
      <c r="AA182" s="2" t="inlineStr">
        <is>
          <t>2026-10-08 19:09:51</t>
        </is>
      </c>
    </row>
    <row r="183" ht="21.95" customHeight="1">
      <c r="A183" s="2" t="n">
        <v>182</v>
      </c>
      <c r="B183" s="31" t="inlineStr">
        <is>
          <t>http://www.dhammathai.org</t>
        </is>
      </c>
      <c r="C183" s="2" t="inlineStr">
        <is>
          <t>ศิลปะ-วัฒนธรรม</t>
        </is>
      </c>
      <c r="D183" s="10">
        <f>F183/71</f>
        <v/>
      </c>
      <c r="E183" s="11">
        <f>IF(D183&gt;=0.9,"ดีเยี่ยม",IF(D183&gt;=0.7,"ดี",IF(D183&gt;=0.5,"พอใช้","ต้องปรับปรุง")))</f>
        <v/>
      </c>
      <c r="F183" s="6">
        <f>J183+N183+R183+V183</f>
        <v/>
      </c>
      <c r="G183" s="6">
        <f>K183+O183+S183+W183</f>
        <v/>
      </c>
      <c r="H183" s="6">
        <f>L183+P183+T183+X183</f>
        <v/>
      </c>
      <c r="I183" s="7">
        <f>J183/37</f>
        <v/>
      </c>
      <c r="J183" s="6" t="n">
        <v>33</v>
      </c>
      <c r="K183" s="6" t="n">
        <v>3</v>
      </c>
      <c r="L183" s="6" t="n">
        <v>1</v>
      </c>
      <c r="M183" s="7">
        <f>N183/9</f>
        <v/>
      </c>
      <c r="N183" s="6" t="n">
        <v>7</v>
      </c>
      <c r="O183" s="6" t="n">
        <v>2</v>
      </c>
      <c r="P183" s="6" t="n">
        <v>0</v>
      </c>
      <c r="Q183" s="7">
        <f>R183/11</f>
        <v/>
      </c>
      <c r="R183" s="6" t="n">
        <v>2</v>
      </c>
      <c r="S183" s="6" t="n">
        <v>4</v>
      </c>
      <c r="T183" s="6" t="n">
        <v>5</v>
      </c>
      <c r="U183" s="7">
        <f>V183/14</f>
        <v/>
      </c>
      <c r="V183" s="6" t="n">
        <v>2</v>
      </c>
      <c r="W183" s="6" t="n">
        <v>12</v>
      </c>
      <c r="X183" s="6" t="n">
        <v>0</v>
      </c>
      <c r="Y183" s="8" t="n">
        <v>66.38</v>
      </c>
      <c r="Z183" s="9" t="inlineStr">
        <is>
          <t>Success</t>
        </is>
      </c>
      <c r="AA183" s="2" t="inlineStr">
        <is>
          <t>2026-10-08 19:10:57</t>
        </is>
      </c>
    </row>
    <row r="184" ht="21.95" customHeight="1">
      <c r="A184" s="2" t="n">
        <v>183</v>
      </c>
      <c r="B184" s="31" t="inlineStr">
        <is>
          <t>http://slri.or.th</t>
        </is>
      </c>
      <c r="C184" s="2" t="inlineStr">
        <is>
          <t>การศึกษา</t>
        </is>
      </c>
      <c r="D184" s="25">
        <f>F184/71</f>
        <v/>
      </c>
      <c r="E184" s="26">
        <f>IF(D184&gt;=0.9,"ดีเยี่ยม",IF(D184&gt;=0.7,"ดี",IF(D184&gt;=0.5,"พอใช้","ต้องปรับปรุง")))</f>
        <v/>
      </c>
      <c r="F184" s="6">
        <f>J184+N184+R184+V184</f>
        <v/>
      </c>
      <c r="G184" s="6">
        <f>K184+O184+S184+W184</f>
        <v/>
      </c>
      <c r="H184" s="6">
        <f>L184+P184+T184+X184</f>
        <v/>
      </c>
      <c r="I184" s="7">
        <f>J184/37</f>
        <v/>
      </c>
      <c r="J184" s="6" t="n">
        <v>0</v>
      </c>
      <c r="K184" s="6" t="n">
        <v>37</v>
      </c>
      <c r="L184" s="6" t="n">
        <v>0</v>
      </c>
      <c r="M184" s="7">
        <f>N184/9</f>
        <v/>
      </c>
      <c r="N184" s="6" t="n">
        <v>0</v>
      </c>
      <c r="O184" s="6" t="n">
        <v>9</v>
      </c>
      <c r="P184" s="6" t="n">
        <v>0</v>
      </c>
      <c r="Q184" s="7">
        <f>R184/11</f>
        <v/>
      </c>
      <c r="R184" s="6" t="n">
        <v>0</v>
      </c>
      <c r="S184" s="6" t="n">
        <v>11</v>
      </c>
      <c r="T184" s="6" t="n">
        <v>0</v>
      </c>
      <c r="U184" s="7">
        <f>V184/14</f>
        <v/>
      </c>
      <c r="V184" s="6" t="n">
        <v>0</v>
      </c>
      <c r="W184" s="6" t="n">
        <v>14</v>
      </c>
      <c r="X184" s="6" t="n">
        <v>0</v>
      </c>
      <c r="Y184" s="8" t="n">
        <v>0.11</v>
      </c>
      <c r="Z184" s="27" t="inlineStr">
        <is>
          <t>Failed (DNS Error (หาเว็บไม่เจอ))</t>
        </is>
      </c>
      <c r="AA184" s="2" t="inlineStr">
        <is>
          <t>2026-10-21 00:13:37</t>
        </is>
      </c>
    </row>
    <row r="185" ht="21.95" customHeight="1">
      <c r="A185" s="2" t="n">
        <v>184</v>
      </c>
      <c r="B185" s="31" t="inlineStr">
        <is>
          <t>http://www.perdsorbtoday.com</t>
        </is>
      </c>
      <c r="C185" s="2" t="inlineStr">
        <is>
          <t>การศึกษา</t>
        </is>
      </c>
      <c r="D185" s="10">
        <f>F185/71</f>
        <v/>
      </c>
      <c r="E185" s="11">
        <f>IF(D185&gt;=0.9,"ดีเยี่ยม",IF(D185&gt;=0.7,"ดี",IF(D185&gt;=0.5,"พอใช้","ต้องปรับปรุง")))</f>
        <v/>
      </c>
      <c r="F185" s="6">
        <f>J185+N185+R185+V185</f>
        <v/>
      </c>
      <c r="G185" s="6">
        <f>K185+O185+S185+W185</f>
        <v/>
      </c>
      <c r="H185" s="6">
        <f>L185+P185+T185+X185</f>
        <v/>
      </c>
      <c r="I185" s="7">
        <f>J185/37</f>
        <v/>
      </c>
      <c r="J185" s="6" t="n">
        <v>32</v>
      </c>
      <c r="K185" s="6" t="n">
        <v>5</v>
      </c>
      <c r="L185" s="6" t="n">
        <v>0</v>
      </c>
      <c r="M185" s="7">
        <f>N185/9</f>
        <v/>
      </c>
      <c r="N185" s="6" t="n">
        <v>5</v>
      </c>
      <c r="O185" s="6" t="n">
        <v>4</v>
      </c>
      <c r="P185" s="6" t="n">
        <v>0</v>
      </c>
      <c r="Q185" s="7">
        <f>R185/11</f>
        <v/>
      </c>
      <c r="R185" s="6" t="n">
        <v>1</v>
      </c>
      <c r="S185" s="6" t="n">
        <v>4</v>
      </c>
      <c r="T185" s="6" t="n">
        <v>6</v>
      </c>
      <c r="U185" s="7">
        <f>V185/14</f>
        <v/>
      </c>
      <c r="V185" s="6" t="n">
        <v>2</v>
      </c>
      <c r="W185" s="6" t="n">
        <v>12</v>
      </c>
      <c r="X185" s="6" t="n">
        <v>0</v>
      </c>
      <c r="Y185" s="8" t="n">
        <v>23.36</v>
      </c>
      <c r="Z185" s="9" t="inlineStr">
        <is>
          <t>Success</t>
        </is>
      </c>
      <c r="AA185" s="2" t="inlineStr">
        <is>
          <t>2026-10-08 19:11:56</t>
        </is>
      </c>
    </row>
    <row r="186" ht="21.95" customHeight="1">
      <c r="A186" s="2" t="n">
        <v>185</v>
      </c>
      <c r="B186" s="31" t="inlineStr">
        <is>
          <t>http://www.perfectcarthailand.com</t>
        </is>
      </c>
      <c r="C186" s="2" t="inlineStr">
        <is>
          <t>ยานยนต์</t>
        </is>
      </c>
      <c r="D186" s="10">
        <f>F186/71</f>
        <v/>
      </c>
      <c r="E186" s="11">
        <f>IF(D186&gt;=0.9,"ดีเยี่ยม",IF(D186&gt;=0.7,"ดี",IF(D186&gt;=0.5,"พอใช้","ต้องปรับปรุง")))</f>
        <v/>
      </c>
      <c r="F186" s="6">
        <f>J186+N186+R186+V186</f>
        <v/>
      </c>
      <c r="G186" s="6">
        <f>K186+O186+S186+W186</f>
        <v/>
      </c>
      <c r="H186" s="6">
        <f>L186+P186+T186+X186</f>
        <v/>
      </c>
      <c r="I186" s="7">
        <f>J186/37</f>
        <v/>
      </c>
      <c r="J186" s="6" t="n">
        <v>31</v>
      </c>
      <c r="K186" s="6" t="n">
        <v>6</v>
      </c>
      <c r="L186" s="6" t="n">
        <v>0</v>
      </c>
      <c r="M186" s="7">
        <f>N186/9</f>
        <v/>
      </c>
      <c r="N186" s="6" t="n">
        <v>8</v>
      </c>
      <c r="O186" s="6" t="n">
        <v>1</v>
      </c>
      <c r="P186" s="6" t="n">
        <v>0</v>
      </c>
      <c r="Q186" s="7">
        <f>R186/11</f>
        <v/>
      </c>
      <c r="R186" s="6" t="n">
        <v>3</v>
      </c>
      <c r="S186" s="6" t="n">
        <v>3</v>
      </c>
      <c r="T186" s="6" t="n">
        <v>5</v>
      </c>
      <c r="U186" s="7">
        <f>V186/14</f>
        <v/>
      </c>
      <c r="V186" s="6" t="n">
        <v>2</v>
      </c>
      <c r="W186" s="6" t="n">
        <v>12</v>
      </c>
      <c r="X186" s="6" t="n">
        <v>0</v>
      </c>
      <c r="Y186" s="8" t="n">
        <v>40.38</v>
      </c>
      <c r="Z186" s="9" t="inlineStr">
        <is>
          <t>Success</t>
        </is>
      </c>
      <c r="AA186" s="2" t="inlineStr">
        <is>
          <t>2026-10-08 19:12:37</t>
        </is>
      </c>
    </row>
    <row r="187" ht="21.95" customHeight="1">
      <c r="A187" s="2" t="n">
        <v>186</v>
      </c>
      <c r="B187" s="31" t="inlineStr">
        <is>
          <t>http://www.khobsanam.com</t>
        </is>
      </c>
      <c r="C187" s="2" t="inlineStr">
        <is>
          <t>กีฬา</t>
        </is>
      </c>
      <c r="D187" s="4">
        <f>F187/71</f>
        <v/>
      </c>
      <c r="E187" s="5">
        <f>IF(D187&gt;=0.9,"ดีเยี่ยม",IF(D187&gt;=0.7,"ดี",IF(D187&gt;=0.5,"พอใช้","ต้องปรับปรุง")))</f>
        <v/>
      </c>
      <c r="F187" s="6">
        <f>J187+N187+R187+V187</f>
        <v/>
      </c>
      <c r="G187" s="6">
        <f>K187+O187+S187+W187</f>
        <v/>
      </c>
      <c r="H187" s="6">
        <f>L187+P187+T187+X187</f>
        <v/>
      </c>
      <c r="I187" s="7">
        <f>J187/37</f>
        <v/>
      </c>
      <c r="J187" s="6" t="n">
        <v>37</v>
      </c>
      <c r="K187" s="6" t="n">
        <v>0</v>
      </c>
      <c r="L187" s="6" t="n">
        <v>0</v>
      </c>
      <c r="M187" s="7">
        <f>N187/9</f>
        <v/>
      </c>
      <c r="N187" s="6" t="n">
        <v>7</v>
      </c>
      <c r="O187" s="6" t="n">
        <v>1</v>
      </c>
      <c r="P187" s="6" t="n">
        <v>1</v>
      </c>
      <c r="Q187" s="7">
        <f>R187/11</f>
        <v/>
      </c>
      <c r="R187" s="6" t="n">
        <v>6</v>
      </c>
      <c r="S187" s="6" t="n">
        <v>1</v>
      </c>
      <c r="T187" s="6" t="n">
        <v>4</v>
      </c>
      <c r="U187" s="7">
        <f>V187/14</f>
        <v/>
      </c>
      <c r="V187" s="6" t="n">
        <v>4</v>
      </c>
      <c r="W187" s="6" t="n">
        <v>8</v>
      </c>
      <c r="X187" s="6" t="n">
        <v>2</v>
      </c>
      <c r="Y187" s="8" t="n">
        <v>20.28</v>
      </c>
      <c r="Z187" s="9" t="inlineStr">
        <is>
          <t>Success</t>
        </is>
      </c>
      <c r="AA187" s="2" t="inlineStr">
        <is>
          <t>2026-10-08 19:12:57</t>
        </is>
      </c>
    </row>
    <row r="188" ht="21.95" customHeight="1">
      <c r="A188" s="2" t="n">
        <v>187</v>
      </c>
      <c r="B188" s="31" t="inlineStr">
        <is>
          <t>http://www.nmm.ac.th</t>
        </is>
      </c>
      <c r="C188" s="2" t="inlineStr">
        <is>
          <t>การศึกษา</t>
        </is>
      </c>
      <c r="D188" s="10">
        <f>F188/71</f>
        <v/>
      </c>
      <c r="E188" s="11">
        <f>IF(D188&gt;=0.9,"ดีเยี่ยม",IF(D188&gt;=0.7,"ดี",IF(D188&gt;=0.5,"พอใช้","ต้องปรับปรุง")))</f>
        <v/>
      </c>
      <c r="F188" s="6">
        <f>J188+N188+R188+V188</f>
        <v/>
      </c>
      <c r="G188" s="6">
        <f>K188+O188+S188+W188</f>
        <v/>
      </c>
      <c r="H188" s="6">
        <f>L188+P188+T188+X188</f>
        <v/>
      </c>
      <c r="I188" s="7">
        <f>J188/37</f>
        <v/>
      </c>
      <c r="J188" s="6" t="n">
        <v>35</v>
      </c>
      <c r="K188" s="6" t="n">
        <v>1</v>
      </c>
      <c r="L188" s="6" t="n">
        <v>1</v>
      </c>
      <c r="M188" s="7">
        <f>N188/9</f>
        <v/>
      </c>
      <c r="N188" s="6" t="n">
        <v>7</v>
      </c>
      <c r="O188" s="6" t="n">
        <v>2</v>
      </c>
      <c r="P188" s="6" t="n">
        <v>0</v>
      </c>
      <c r="Q188" s="7">
        <f>R188/11</f>
        <v/>
      </c>
      <c r="R188" s="6" t="n">
        <v>3</v>
      </c>
      <c r="S188" s="6" t="n">
        <v>3</v>
      </c>
      <c r="T188" s="6" t="n">
        <v>5</v>
      </c>
      <c r="U188" s="7">
        <f>V188/14</f>
        <v/>
      </c>
      <c r="V188" s="6" t="n">
        <v>2</v>
      </c>
      <c r="W188" s="6" t="n">
        <v>12</v>
      </c>
      <c r="X188" s="6" t="n">
        <v>0</v>
      </c>
      <c r="Y188" s="8" t="n">
        <v>33.97</v>
      </c>
      <c r="Z188" s="9" t="inlineStr">
        <is>
          <t>Success</t>
        </is>
      </c>
      <c r="AA188" s="2" t="inlineStr">
        <is>
          <t>2026-10-08 19:13:31</t>
        </is>
      </c>
    </row>
    <row r="189" ht="21.95" customHeight="1">
      <c r="A189" s="2" t="n">
        <v>188</v>
      </c>
      <c r="B189" s="31" t="inlineStr">
        <is>
          <t>http://www.thaitravelcenter.com</t>
        </is>
      </c>
      <c r="C189" s="2" t="inlineStr">
        <is>
          <t>ท่องเที่ยว</t>
        </is>
      </c>
      <c r="D189" s="25">
        <f>F189/71</f>
        <v/>
      </c>
      <c r="E189" s="26">
        <f>IF(D189&gt;=0.9,"ดีเยี่ยม",IF(D189&gt;=0.7,"ดี",IF(D189&gt;=0.5,"พอใช้","ต้องปรับปรุง")))</f>
        <v/>
      </c>
      <c r="F189" s="6">
        <f>J189+N189+R189+V189</f>
        <v/>
      </c>
      <c r="G189" s="6">
        <f>K189+O189+S189+W189</f>
        <v/>
      </c>
      <c r="H189" s="6">
        <f>L189+P189+T189+X189</f>
        <v/>
      </c>
      <c r="I189" s="7">
        <f>J189/37</f>
        <v/>
      </c>
      <c r="J189" s="6" t="n">
        <v>0</v>
      </c>
      <c r="K189" s="6" t="n">
        <v>37</v>
      </c>
      <c r="L189" s="6" t="n">
        <v>0</v>
      </c>
      <c r="M189" s="7">
        <f>N189/9</f>
        <v/>
      </c>
      <c r="N189" s="6" t="n">
        <v>0</v>
      </c>
      <c r="O189" s="6" t="n">
        <v>9</v>
      </c>
      <c r="P189" s="6" t="n">
        <v>0</v>
      </c>
      <c r="Q189" s="7">
        <f>R189/11</f>
        <v/>
      </c>
      <c r="R189" s="6" t="n">
        <v>0</v>
      </c>
      <c r="S189" s="6" t="n">
        <v>11</v>
      </c>
      <c r="T189" s="6" t="n">
        <v>0</v>
      </c>
      <c r="U189" s="7">
        <f>V189/14</f>
        <v/>
      </c>
      <c r="V189" s="6" t="n">
        <v>0</v>
      </c>
      <c r="W189" s="6" t="n">
        <v>14</v>
      </c>
      <c r="X189" s="6" t="n">
        <v>0</v>
      </c>
      <c r="Y189" s="8" t="n">
        <v>24.4</v>
      </c>
      <c r="Z189" s="27" t="inlineStr">
        <is>
          <t>Failed (Timeout (เว็บไม่ตอบ))</t>
        </is>
      </c>
      <c r="AA189" s="2" t="inlineStr">
        <is>
          <t>2026-10-21 00:13:37</t>
        </is>
      </c>
    </row>
    <row r="190" ht="21.95" customHeight="1">
      <c r="A190" s="2" t="n">
        <v>189</v>
      </c>
      <c r="B190" s="31" t="inlineStr">
        <is>
          <t>http://higher.co.th</t>
        </is>
      </c>
      <c r="C190" s="2" t="inlineStr">
        <is>
          <t>การศึกษา</t>
        </is>
      </c>
      <c r="D190" s="10">
        <f>F190/71</f>
        <v/>
      </c>
      <c r="E190" s="11">
        <f>IF(D190&gt;=0.9,"ดีเยี่ยม",IF(D190&gt;=0.7,"ดี",IF(D190&gt;=0.5,"พอใช้","ต้องปรับปรุง")))</f>
        <v/>
      </c>
      <c r="F190" s="6">
        <f>J190+N190+R190+V190</f>
        <v/>
      </c>
      <c r="G190" s="6">
        <f>K190+O190+S190+W190</f>
        <v/>
      </c>
      <c r="H190" s="6">
        <f>L190+P190+T190+X190</f>
        <v/>
      </c>
      <c r="I190" s="7">
        <f>J190/37</f>
        <v/>
      </c>
      <c r="J190" s="6" t="n">
        <v>31</v>
      </c>
      <c r="K190" s="6" t="n">
        <v>5</v>
      </c>
      <c r="L190" s="6" t="n">
        <v>1</v>
      </c>
      <c r="M190" s="7">
        <f>N190/9</f>
        <v/>
      </c>
      <c r="N190" s="6" t="n">
        <v>7</v>
      </c>
      <c r="O190" s="6" t="n">
        <v>2</v>
      </c>
      <c r="P190" s="6" t="n">
        <v>0</v>
      </c>
      <c r="Q190" s="7">
        <f>R190/11</f>
        <v/>
      </c>
      <c r="R190" s="6" t="n">
        <v>6</v>
      </c>
      <c r="S190" s="6" t="n">
        <v>3</v>
      </c>
      <c r="T190" s="6" t="n">
        <v>2</v>
      </c>
      <c r="U190" s="7">
        <f>V190/14</f>
        <v/>
      </c>
      <c r="V190" s="6" t="n">
        <v>2</v>
      </c>
      <c r="W190" s="6" t="n">
        <v>12</v>
      </c>
      <c r="X190" s="6" t="n">
        <v>0</v>
      </c>
      <c r="Y190" s="8" t="n">
        <v>19.56</v>
      </c>
      <c r="Z190" s="9" t="inlineStr">
        <is>
          <t>Success</t>
        </is>
      </c>
      <c r="AA190" s="2" t="inlineStr">
        <is>
          <t>2026-10-08 19:14:46</t>
        </is>
      </c>
    </row>
    <row r="191" ht="21.95" customHeight="1">
      <c r="A191" s="2" t="n">
        <v>190</v>
      </c>
      <c r="B191" s="31" t="inlineStr">
        <is>
          <t>http://www.sirindhorn.net</t>
        </is>
      </c>
      <c r="C191" s="2" t="inlineStr">
        <is>
          <t>หน่วยงานราชการ,องค์กร</t>
        </is>
      </c>
      <c r="D191" s="10">
        <f>F191/71</f>
        <v/>
      </c>
      <c r="E191" s="11">
        <f>IF(D191&gt;=0.9,"ดีเยี่ยม",IF(D191&gt;=0.7,"ดี",IF(D191&gt;=0.5,"พอใช้","ต้องปรับปรุง")))</f>
        <v/>
      </c>
      <c r="F191" s="6">
        <f>J191+N191+R191+V191</f>
        <v/>
      </c>
      <c r="G191" s="6">
        <f>K191+O191+S191+W191</f>
        <v/>
      </c>
      <c r="H191" s="6">
        <f>L191+P191+T191+X191</f>
        <v/>
      </c>
      <c r="I191" s="7">
        <f>J191/37</f>
        <v/>
      </c>
      <c r="J191" s="6" t="n">
        <v>33</v>
      </c>
      <c r="K191" s="6" t="n">
        <v>4</v>
      </c>
      <c r="L191" s="6" t="n">
        <v>0</v>
      </c>
      <c r="M191" s="7">
        <f>N191/9</f>
        <v/>
      </c>
      <c r="N191" s="6" t="n">
        <v>8</v>
      </c>
      <c r="O191" s="6" t="n">
        <v>1</v>
      </c>
      <c r="P191" s="6" t="n">
        <v>0</v>
      </c>
      <c r="Q191" s="7">
        <f>R191/11</f>
        <v/>
      </c>
      <c r="R191" s="6" t="n">
        <v>3</v>
      </c>
      <c r="S191" s="6" t="n">
        <v>3</v>
      </c>
      <c r="T191" s="6" t="n">
        <v>5</v>
      </c>
      <c r="U191" s="7">
        <f>V191/14</f>
        <v/>
      </c>
      <c r="V191" s="6" t="n">
        <v>2</v>
      </c>
      <c r="W191" s="6" t="n">
        <v>12</v>
      </c>
      <c r="X191" s="6" t="n">
        <v>0</v>
      </c>
      <c r="Y191" s="8" t="n">
        <v>15.63</v>
      </c>
      <c r="Z191" s="9" t="inlineStr">
        <is>
          <t>Success</t>
        </is>
      </c>
      <c r="AA191" s="2" t="inlineStr">
        <is>
          <t>2026-10-08 19:15:02</t>
        </is>
      </c>
    </row>
    <row r="192" ht="21.95" customHeight="1">
      <c r="A192" s="2" t="n">
        <v>191</v>
      </c>
      <c r="B192" s="31" t="inlineStr">
        <is>
          <t>http://www.mahamodo.com/</t>
        </is>
      </c>
      <c r="C192" s="2" t="inlineStr">
        <is>
          <t>บันเทิง</t>
        </is>
      </c>
      <c r="D192" s="10">
        <f>F192/71</f>
        <v/>
      </c>
      <c r="E192" s="11">
        <f>IF(D192&gt;=0.9,"ดีเยี่ยม",IF(D192&gt;=0.7,"ดี",IF(D192&gt;=0.5,"พอใช้","ต้องปรับปรุง")))</f>
        <v/>
      </c>
      <c r="F192" s="6">
        <f>J192+N192+R192+V192</f>
        <v/>
      </c>
      <c r="G192" s="6">
        <f>K192+O192+S192+W192</f>
        <v/>
      </c>
      <c r="H192" s="6">
        <f>L192+P192+T192+X192</f>
        <v/>
      </c>
      <c r="I192" s="7">
        <f>J192/37</f>
        <v/>
      </c>
      <c r="J192" s="6" t="n">
        <v>36</v>
      </c>
      <c r="K192" s="6" t="n">
        <v>0</v>
      </c>
      <c r="L192" s="6" t="n">
        <v>1</v>
      </c>
      <c r="M192" s="7">
        <f>N192/9</f>
        <v/>
      </c>
      <c r="N192" s="6" t="n">
        <v>7</v>
      </c>
      <c r="O192" s="6" t="n">
        <v>0</v>
      </c>
      <c r="P192" s="6" t="n">
        <v>2</v>
      </c>
      <c r="Q192" s="7">
        <f>R192/11</f>
        <v/>
      </c>
      <c r="R192" s="6" t="n">
        <v>4</v>
      </c>
      <c r="S192" s="6" t="n">
        <v>4</v>
      </c>
      <c r="T192" s="6" t="n">
        <v>3</v>
      </c>
      <c r="U192" s="7">
        <f>V192/14</f>
        <v/>
      </c>
      <c r="V192" s="6" t="n">
        <v>1</v>
      </c>
      <c r="W192" s="6" t="n">
        <v>12</v>
      </c>
      <c r="X192" s="6" t="n">
        <v>1</v>
      </c>
      <c r="Y192" s="8" t="n">
        <v>56.3</v>
      </c>
      <c r="Z192" s="9" t="inlineStr">
        <is>
          <t>Success</t>
        </is>
      </c>
      <c r="AA192" s="2" t="inlineStr">
        <is>
          <t>2026-10-08 19:15:58</t>
        </is>
      </c>
    </row>
    <row r="193" ht="21.95" customHeight="1">
      <c r="A193" s="2" t="n">
        <v>192</v>
      </c>
      <c r="B193" s="31" t="inlineStr">
        <is>
          <t>http://www.dld.go.th</t>
        </is>
      </c>
      <c r="C193" s="2" t="inlineStr">
        <is>
          <t>หน่วยงานราชการ,องค์กร</t>
        </is>
      </c>
      <c r="D193" s="10">
        <f>F193/71</f>
        <v/>
      </c>
      <c r="E193" s="11">
        <f>IF(D193&gt;=0.9,"ดีเยี่ยม",IF(D193&gt;=0.7,"ดี",IF(D193&gt;=0.5,"พอใช้","ต้องปรับปรุง")))</f>
        <v/>
      </c>
      <c r="F193" s="6">
        <f>J193+N193+R193+V193</f>
        <v/>
      </c>
      <c r="G193" s="6">
        <f>K193+O193+S193+W193</f>
        <v/>
      </c>
      <c r="H193" s="6">
        <f>L193+P193+T193+X193</f>
        <v/>
      </c>
      <c r="I193" s="7">
        <f>J193/37</f>
        <v/>
      </c>
      <c r="J193" s="6" t="n">
        <v>34</v>
      </c>
      <c r="K193" s="6" t="n">
        <v>3</v>
      </c>
      <c r="L193" s="6" t="n">
        <v>0</v>
      </c>
      <c r="M193" s="7">
        <f>N193/9</f>
        <v/>
      </c>
      <c r="N193" s="6" t="n">
        <v>7</v>
      </c>
      <c r="O193" s="6" t="n">
        <v>2</v>
      </c>
      <c r="P193" s="6" t="n">
        <v>0</v>
      </c>
      <c r="Q193" s="7">
        <f>R193/11</f>
        <v/>
      </c>
      <c r="R193" s="6" t="n">
        <v>6</v>
      </c>
      <c r="S193" s="6" t="n">
        <v>3</v>
      </c>
      <c r="T193" s="6" t="n">
        <v>2</v>
      </c>
      <c r="U193" s="7">
        <f>V193/14</f>
        <v/>
      </c>
      <c r="V193" s="6" t="n">
        <v>2</v>
      </c>
      <c r="W193" s="6" t="n">
        <v>12</v>
      </c>
      <c r="X193" s="6" t="n">
        <v>0</v>
      </c>
      <c r="Y193" s="8" t="n">
        <v>15.22</v>
      </c>
      <c r="Z193" s="9" t="inlineStr">
        <is>
          <t>Success</t>
        </is>
      </c>
      <c r="AA193" s="2" t="inlineStr">
        <is>
          <t>2026-10-09 12:09:08</t>
        </is>
      </c>
    </row>
    <row r="194" ht="21.95" customHeight="1">
      <c r="A194" s="2" t="n">
        <v>193</v>
      </c>
      <c r="B194" s="31" t="inlineStr">
        <is>
          <t>http://www.onep.go.th</t>
        </is>
      </c>
      <c r="C194" s="2" t="inlineStr">
        <is>
          <t>หน่วยงานราชการ,องค์กร</t>
        </is>
      </c>
      <c r="D194" s="10">
        <f>F194/71</f>
        <v/>
      </c>
      <c r="E194" s="11">
        <f>IF(D194&gt;=0.9,"ดีเยี่ยม",IF(D194&gt;=0.7,"ดี",IF(D194&gt;=0.5,"พอใช้","ต้องปรับปรุง")))</f>
        <v/>
      </c>
      <c r="F194" s="6">
        <f>J194+N194+R194+V194</f>
        <v/>
      </c>
      <c r="G194" s="6">
        <f>K194+O194+S194+W194</f>
        <v/>
      </c>
      <c r="H194" s="6">
        <f>L194+P194+T194+X194</f>
        <v/>
      </c>
      <c r="I194" s="7">
        <f>J194/37</f>
        <v/>
      </c>
      <c r="J194" s="6" t="n">
        <v>31</v>
      </c>
      <c r="K194" s="6" t="n">
        <v>6</v>
      </c>
      <c r="L194" s="6" t="n">
        <v>0</v>
      </c>
      <c r="M194" s="7">
        <f>N194/9</f>
        <v/>
      </c>
      <c r="N194" s="6" t="n">
        <v>6</v>
      </c>
      <c r="O194" s="6" t="n">
        <v>3</v>
      </c>
      <c r="P194" s="6" t="n">
        <v>0</v>
      </c>
      <c r="Q194" s="7">
        <f>R194/11</f>
        <v/>
      </c>
      <c r="R194" s="6" t="n">
        <v>5</v>
      </c>
      <c r="S194" s="6" t="n">
        <v>3</v>
      </c>
      <c r="T194" s="6" t="n">
        <v>3</v>
      </c>
      <c r="U194" s="7">
        <f>V194/14</f>
        <v/>
      </c>
      <c r="V194" s="6" t="n">
        <v>2</v>
      </c>
      <c r="W194" s="6" t="n">
        <v>12</v>
      </c>
      <c r="X194" s="6" t="n">
        <v>0</v>
      </c>
      <c r="Y194" s="8" t="n">
        <v>38.02</v>
      </c>
      <c r="Z194" s="9" t="inlineStr">
        <is>
          <t>Success</t>
        </is>
      </c>
      <c r="AA194" s="2" t="inlineStr">
        <is>
          <t>2026-10-08 19:16:51</t>
        </is>
      </c>
    </row>
    <row r="195" ht="21.95" customHeight="1">
      <c r="A195" s="2" t="n">
        <v>194</v>
      </c>
      <c r="B195" s="31" t="inlineStr">
        <is>
          <t>http://www.hometophit.com</t>
        </is>
      </c>
      <c r="C195" s="2" t="inlineStr">
        <is>
          <t>อสังหาริมทรัพย์-ก่อสร้าง</t>
        </is>
      </c>
      <c r="D195" s="10">
        <f>F195/71</f>
        <v/>
      </c>
      <c r="E195" s="11">
        <f>IF(D195&gt;=0.9,"ดีเยี่ยม",IF(D195&gt;=0.7,"ดี",IF(D195&gt;=0.5,"พอใช้","ต้องปรับปรุง")))</f>
        <v/>
      </c>
      <c r="F195" s="6">
        <f>J195+N195+R195+V195</f>
        <v/>
      </c>
      <c r="G195" s="6">
        <f>K195+O195+S195+W195</f>
        <v/>
      </c>
      <c r="H195" s="6">
        <f>L195+P195+T195+X195</f>
        <v/>
      </c>
      <c r="I195" s="7">
        <f>J195/37</f>
        <v/>
      </c>
      <c r="J195" s="6" t="n">
        <v>30</v>
      </c>
      <c r="K195" s="6" t="n">
        <v>7</v>
      </c>
      <c r="L195" s="6" t="n">
        <v>0</v>
      </c>
      <c r="M195" s="7">
        <f>N195/9</f>
        <v/>
      </c>
      <c r="N195" s="6" t="n">
        <v>8</v>
      </c>
      <c r="O195" s="6" t="n">
        <v>1</v>
      </c>
      <c r="P195" s="6" t="n">
        <v>0</v>
      </c>
      <c r="Q195" s="7">
        <f>R195/11</f>
        <v/>
      </c>
      <c r="R195" s="6" t="n">
        <v>1</v>
      </c>
      <c r="S195" s="6" t="n">
        <v>4</v>
      </c>
      <c r="T195" s="6" t="n">
        <v>6</v>
      </c>
      <c r="U195" s="7">
        <f>V195/14</f>
        <v/>
      </c>
      <c r="V195" s="6" t="n">
        <v>2</v>
      </c>
      <c r="W195" s="6" t="n">
        <v>12</v>
      </c>
      <c r="X195" s="6" t="n">
        <v>0</v>
      </c>
      <c r="Y195" s="8" t="n">
        <v>39.25</v>
      </c>
      <c r="Z195" s="9" t="inlineStr">
        <is>
          <t>Success</t>
        </is>
      </c>
      <c r="AA195" s="2" t="inlineStr">
        <is>
          <t>2026-10-08 19:17:30</t>
        </is>
      </c>
    </row>
    <row r="196" ht="21.95" customHeight="1">
      <c r="A196" s="2" t="n">
        <v>195</v>
      </c>
      <c r="B196" s="31" t="inlineStr">
        <is>
          <t>http://www.rocketsound.co.th</t>
        </is>
      </c>
      <c r="C196" s="2" t="inlineStr">
        <is>
          <t>ยานยนต์</t>
        </is>
      </c>
      <c r="D196" s="10">
        <f>F196/71</f>
        <v/>
      </c>
      <c r="E196" s="11">
        <f>IF(D196&gt;=0.9,"ดีเยี่ยม",IF(D196&gt;=0.7,"ดี",IF(D196&gt;=0.5,"พอใช้","ต้องปรับปรุง")))</f>
        <v/>
      </c>
      <c r="F196" s="6">
        <f>J196+N196+R196+V196</f>
        <v/>
      </c>
      <c r="G196" s="6">
        <f>K196+O196+S196+W196</f>
        <v/>
      </c>
      <c r="H196" s="6">
        <f>L196+P196+T196+X196</f>
        <v/>
      </c>
      <c r="I196" s="7">
        <f>J196/37</f>
        <v/>
      </c>
      <c r="J196" s="6" t="n">
        <v>32</v>
      </c>
      <c r="K196" s="6" t="n">
        <v>4</v>
      </c>
      <c r="L196" s="6" t="n">
        <v>1</v>
      </c>
      <c r="M196" s="7">
        <f>N196/9</f>
        <v/>
      </c>
      <c r="N196" s="6" t="n">
        <v>6</v>
      </c>
      <c r="O196" s="6" t="n">
        <v>3</v>
      </c>
      <c r="P196" s="6" t="n">
        <v>0</v>
      </c>
      <c r="Q196" s="7">
        <f>R196/11</f>
        <v/>
      </c>
      <c r="R196" s="6" t="n">
        <v>0</v>
      </c>
      <c r="S196" s="6" t="n">
        <v>4</v>
      </c>
      <c r="T196" s="6" t="n">
        <v>7</v>
      </c>
      <c r="U196" s="7">
        <f>V196/14</f>
        <v/>
      </c>
      <c r="V196" s="6" t="n">
        <v>2</v>
      </c>
      <c r="W196" s="6" t="n">
        <v>12</v>
      </c>
      <c r="X196" s="6" t="n">
        <v>0</v>
      </c>
      <c r="Y196" s="8" t="n">
        <v>56.41</v>
      </c>
      <c r="Z196" s="9" t="inlineStr">
        <is>
          <t>Success</t>
        </is>
      </c>
      <c r="AA196" s="2" t="inlineStr">
        <is>
          <t>2026-10-08 19:18:27</t>
        </is>
      </c>
    </row>
    <row r="197" ht="21.95" customHeight="1">
      <c r="A197" s="2" t="n">
        <v>196</v>
      </c>
      <c r="B197" s="31" t="inlineStr">
        <is>
          <t>http://www.colo.in.th</t>
        </is>
      </c>
      <c r="C197" s="2" t="inlineStr">
        <is>
          <t>อินเทอร์เน็ต</t>
        </is>
      </c>
      <c r="D197" s="10">
        <f>F197/71</f>
        <v/>
      </c>
      <c r="E197" s="11">
        <f>IF(D197&gt;=0.9,"ดีเยี่ยม",IF(D197&gt;=0.7,"ดี",IF(D197&gt;=0.5,"พอใช้","ต้องปรับปรุง")))</f>
        <v/>
      </c>
      <c r="F197" s="6">
        <f>J197+N197+R197+V197</f>
        <v/>
      </c>
      <c r="G197" s="6">
        <f>K197+O197+S197+W197</f>
        <v/>
      </c>
      <c r="H197" s="6">
        <f>L197+P197+T197+X197</f>
        <v/>
      </c>
      <c r="I197" s="7">
        <f>J197/37</f>
        <v/>
      </c>
      <c r="J197" s="6" t="n">
        <v>34</v>
      </c>
      <c r="K197" s="6" t="n">
        <v>3</v>
      </c>
      <c r="L197" s="6" t="n">
        <v>0</v>
      </c>
      <c r="M197" s="7">
        <f>N197/9</f>
        <v/>
      </c>
      <c r="N197" s="6" t="n">
        <v>8</v>
      </c>
      <c r="O197" s="6" t="n">
        <v>1</v>
      </c>
      <c r="P197" s="6" t="n">
        <v>0</v>
      </c>
      <c r="Q197" s="7">
        <f>R197/11</f>
        <v/>
      </c>
      <c r="R197" s="6" t="n">
        <v>3</v>
      </c>
      <c r="S197" s="6" t="n">
        <v>3</v>
      </c>
      <c r="T197" s="6" t="n">
        <v>5</v>
      </c>
      <c r="U197" s="7">
        <f>V197/14</f>
        <v/>
      </c>
      <c r="V197" s="6" t="n">
        <v>2</v>
      </c>
      <c r="W197" s="6" t="n">
        <v>11</v>
      </c>
      <c r="X197" s="6" t="n">
        <v>1</v>
      </c>
      <c r="Y197" s="8" t="n">
        <v>34.71</v>
      </c>
      <c r="Z197" s="9" t="inlineStr">
        <is>
          <t>Success</t>
        </is>
      </c>
      <c r="AA197" s="2" t="inlineStr">
        <is>
          <t>2026-10-08 19:19:02</t>
        </is>
      </c>
    </row>
    <row r="198" ht="21.95" customHeight="1">
      <c r="A198" s="2" t="n">
        <v>197</v>
      </c>
      <c r="B198" s="31" t="inlineStr">
        <is>
          <t>http://ninemove.com</t>
        </is>
      </c>
      <c r="C198" s="2" t="inlineStr">
        <is>
          <t>ธุรกิจ</t>
        </is>
      </c>
      <c r="D198" s="10">
        <f>F198/71</f>
        <v/>
      </c>
      <c r="E198" s="11">
        <f>IF(D198&gt;=0.9,"ดีเยี่ยม",IF(D198&gt;=0.7,"ดี",IF(D198&gt;=0.5,"พอใช้","ต้องปรับปรุง")))</f>
        <v/>
      </c>
      <c r="F198" s="6">
        <f>J198+N198+R198+V198</f>
        <v/>
      </c>
      <c r="G198" s="6">
        <f>K198+O198+S198+W198</f>
        <v/>
      </c>
      <c r="H198" s="6">
        <f>L198+P198+T198+X198</f>
        <v/>
      </c>
      <c r="I198" s="7">
        <f>J198/37</f>
        <v/>
      </c>
      <c r="J198" s="6" t="n">
        <v>35</v>
      </c>
      <c r="K198" s="6" t="n">
        <v>2</v>
      </c>
      <c r="L198" s="6" t="n">
        <v>0</v>
      </c>
      <c r="M198" s="7">
        <f>N198/9</f>
        <v/>
      </c>
      <c r="N198" s="6" t="n">
        <v>8</v>
      </c>
      <c r="O198" s="6" t="n">
        <v>0</v>
      </c>
      <c r="P198" s="6" t="n">
        <v>1</v>
      </c>
      <c r="Q198" s="7">
        <f>R198/11</f>
        <v/>
      </c>
      <c r="R198" s="6" t="n">
        <v>4</v>
      </c>
      <c r="S198" s="6" t="n">
        <v>3</v>
      </c>
      <c r="T198" s="6" t="n">
        <v>4</v>
      </c>
      <c r="U198" s="7">
        <f>V198/14</f>
        <v/>
      </c>
      <c r="V198" s="6" t="n">
        <v>2</v>
      </c>
      <c r="W198" s="6" t="n">
        <v>11</v>
      </c>
      <c r="X198" s="6" t="n">
        <v>1</v>
      </c>
      <c r="Y198" s="8" t="n">
        <v>21.8</v>
      </c>
      <c r="Z198" s="9" t="inlineStr">
        <is>
          <t>Success</t>
        </is>
      </c>
      <c r="AA198" s="2" t="inlineStr">
        <is>
          <t>2026-10-08 19:19:23</t>
        </is>
      </c>
    </row>
    <row r="199" ht="21.95" customHeight="1">
      <c r="A199" s="2" t="n">
        <v>198</v>
      </c>
      <c r="B199" s="31" t="inlineStr">
        <is>
          <t>http://racingweb.net</t>
        </is>
      </c>
      <c r="C199" s="2" t="inlineStr">
        <is>
          <t>ยานยนต์</t>
        </is>
      </c>
      <c r="D199" s="25">
        <f>F199/71</f>
        <v/>
      </c>
      <c r="E199" s="26">
        <f>IF(D199&gt;=0.9,"ดีเยี่ยม",IF(D199&gt;=0.7,"ดี",IF(D199&gt;=0.5,"พอใช้","ต้องปรับปรุง")))</f>
        <v/>
      </c>
      <c r="F199" s="6">
        <f>J199+N199+R199+V199</f>
        <v/>
      </c>
      <c r="G199" s="6">
        <f>K199+O199+S199+W199</f>
        <v/>
      </c>
      <c r="H199" s="6">
        <f>L199+P199+T199+X199</f>
        <v/>
      </c>
      <c r="I199" s="7">
        <f>J199/37</f>
        <v/>
      </c>
      <c r="J199" s="6" t="n">
        <v>0</v>
      </c>
      <c r="K199" s="6" t="n">
        <v>37</v>
      </c>
      <c r="L199" s="6" t="n">
        <v>0</v>
      </c>
      <c r="M199" s="7">
        <f>N199/9</f>
        <v/>
      </c>
      <c r="N199" s="6" t="n">
        <v>0</v>
      </c>
      <c r="O199" s="6" t="n">
        <v>9</v>
      </c>
      <c r="P199" s="6" t="n">
        <v>0</v>
      </c>
      <c r="Q199" s="7">
        <f>R199/11</f>
        <v/>
      </c>
      <c r="R199" s="6" t="n">
        <v>0</v>
      </c>
      <c r="S199" s="6" t="n">
        <v>11</v>
      </c>
      <c r="T199" s="6" t="n">
        <v>0</v>
      </c>
      <c r="U199" s="7">
        <f>V199/14</f>
        <v/>
      </c>
      <c r="V199" s="6" t="n">
        <v>0</v>
      </c>
      <c r="W199" s="6" t="n">
        <v>14</v>
      </c>
      <c r="X199" s="6" t="n">
        <v>0</v>
      </c>
      <c r="Y199" s="8" t="n">
        <v>0.48</v>
      </c>
      <c r="Z199" s="27" t="inlineStr">
        <is>
          <t>Failed (Client Error (HTTP 400))</t>
        </is>
      </c>
      <c r="AA199" s="2" t="inlineStr">
        <is>
          <t>2026-10-21 00:13:37</t>
        </is>
      </c>
    </row>
    <row r="200" ht="21.95" customHeight="1">
      <c r="A200" s="2" t="n">
        <v>199</v>
      </c>
      <c r="B200" s="31" t="inlineStr">
        <is>
          <t>http://www.avtechguide.com</t>
        </is>
      </c>
      <c r="C200" s="2" t="inlineStr">
        <is>
          <t>มือถือ-พีดีเอ</t>
        </is>
      </c>
      <c r="D200" s="10">
        <f>F200/71</f>
        <v/>
      </c>
      <c r="E200" s="11">
        <f>IF(D200&gt;=0.9,"ดีเยี่ยม",IF(D200&gt;=0.7,"ดี",IF(D200&gt;=0.5,"พอใช้","ต้องปรับปรุง")))</f>
        <v/>
      </c>
      <c r="F200" s="6">
        <f>J200+N200+R200+V200</f>
        <v/>
      </c>
      <c r="G200" s="6">
        <f>K200+O200+S200+W200</f>
        <v/>
      </c>
      <c r="H200" s="6">
        <f>L200+P200+T200+X200</f>
        <v/>
      </c>
      <c r="I200" s="7">
        <f>J200/37</f>
        <v/>
      </c>
      <c r="J200" s="6" t="n">
        <v>34</v>
      </c>
      <c r="K200" s="6" t="n">
        <v>3</v>
      </c>
      <c r="L200" s="6" t="n">
        <v>0</v>
      </c>
      <c r="M200" s="7">
        <f>N200/9</f>
        <v/>
      </c>
      <c r="N200" s="6" t="n">
        <v>8</v>
      </c>
      <c r="O200" s="6" t="n">
        <v>1</v>
      </c>
      <c r="P200" s="6" t="n">
        <v>0</v>
      </c>
      <c r="Q200" s="7">
        <f>R200/11</f>
        <v/>
      </c>
      <c r="R200" s="6" t="n">
        <v>4</v>
      </c>
      <c r="S200" s="6" t="n">
        <v>3</v>
      </c>
      <c r="T200" s="6" t="n">
        <v>4</v>
      </c>
      <c r="U200" s="7">
        <f>V200/14</f>
        <v/>
      </c>
      <c r="V200" s="6" t="n">
        <v>2</v>
      </c>
      <c r="W200" s="6" t="n">
        <v>12</v>
      </c>
      <c r="X200" s="6" t="n">
        <v>0</v>
      </c>
      <c r="Y200" s="8" t="n">
        <v>20.25</v>
      </c>
      <c r="Z200" s="9" t="inlineStr">
        <is>
          <t>Success</t>
        </is>
      </c>
      <c r="AA200" s="2" t="inlineStr">
        <is>
          <t>2026-10-08 19:21:29</t>
        </is>
      </c>
    </row>
    <row r="201" ht="21.95" customHeight="1">
      <c r="A201" s="2" t="n">
        <v>200</v>
      </c>
      <c r="B201" s="31" t="inlineStr">
        <is>
          <t>http://www.totiptv.com</t>
        </is>
      </c>
      <c r="C201" s="2" t="inlineStr">
        <is>
          <t>ข่าว-สื่อ</t>
        </is>
      </c>
      <c r="D201" s="25">
        <f>F201/71</f>
        <v/>
      </c>
      <c r="E201" s="26">
        <f>IF(D201&gt;=0.9,"ดีเยี่ยม",IF(D201&gt;=0.7,"ดี",IF(D201&gt;=0.5,"พอใช้","ต้องปรับปรุง")))</f>
        <v/>
      </c>
      <c r="F201" s="6">
        <f>J201+N201+R201+V201</f>
        <v/>
      </c>
      <c r="G201" s="6">
        <f>K201+O201+S201+W201</f>
        <v/>
      </c>
      <c r="H201" s="6">
        <f>L201+P201+T201+X201</f>
        <v/>
      </c>
      <c r="I201" s="7">
        <f>J201/37</f>
        <v/>
      </c>
      <c r="J201" s="6" t="n">
        <v>0</v>
      </c>
      <c r="K201" s="6" t="n">
        <v>37</v>
      </c>
      <c r="L201" s="6" t="n">
        <v>0</v>
      </c>
      <c r="M201" s="7">
        <f>N201/9</f>
        <v/>
      </c>
      <c r="N201" s="6" t="n">
        <v>0</v>
      </c>
      <c r="O201" s="6" t="n">
        <v>9</v>
      </c>
      <c r="P201" s="6" t="n">
        <v>0</v>
      </c>
      <c r="Q201" s="7">
        <f>R201/11</f>
        <v/>
      </c>
      <c r="R201" s="6" t="n">
        <v>0</v>
      </c>
      <c r="S201" s="6" t="n">
        <v>11</v>
      </c>
      <c r="T201" s="6" t="n">
        <v>0</v>
      </c>
      <c r="U201" s="7">
        <f>V201/14</f>
        <v/>
      </c>
      <c r="V201" s="6" t="n">
        <v>0</v>
      </c>
      <c r="W201" s="6" t="n">
        <v>14</v>
      </c>
      <c r="X201" s="6" t="n">
        <v>0</v>
      </c>
      <c r="Y201" s="8" t="n">
        <v>0.09</v>
      </c>
      <c r="Z201" s="27" t="inlineStr">
        <is>
          <t>Failed (หน้าเว็บไม่มีอยู่จริง (HTTP 404))</t>
        </is>
      </c>
      <c r="AA201" s="2" t="inlineStr">
        <is>
          <t>2026-10-21 00:13:37</t>
        </is>
      </c>
    </row>
    <row r="202" ht="21.95" customHeight="1">
      <c r="A202" s="2" t="n">
        <v>201</v>
      </c>
      <c r="B202" s="31" t="inlineStr">
        <is>
          <t>http://www.tartoh.com</t>
        </is>
      </c>
      <c r="C202" s="2" t="inlineStr">
        <is>
          <t>บันเทิง</t>
        </is>
      </c>
      <c r="D202" s="25">
        <f>F202/71</f>
        <v/>
      </c>
      <c r="E202" s="26">
        <f>IF(D202&gt;=0.9,"ดีเยี่ยม",IF(D202&gt;=0.7,"ดี",IF(D202&gt;=0.5,"พอใช้","ต้องปรับปรุง")))</f>
        <v/>
      </c>
      <c r="F202" s="6">
        <f>J202+N202+R202+V202</f>
        <v/>
      </c>
      <c r="G202" s="6">
        <f>K202+O202+S202+W202</f>
        <v/>
      </c>
      <c r="H202" s="6">
        <f>L202+P202+T202+X202</f>
        <v/>
      </c>
      <c r="I202" s="7">
        <f>J202/37</f>
        <v/>
      </c>
      <c r="J202" s="6" t="n">
        <v>0</v>
      </c>
      <c r="K202" s="6" t="n">
        <v>37</v>
      </c>
      <c r="L202" s="6" t="n">
        <v>0</v>
      </c>
      <c r="M202" s="7">
        <f>N202/9</f>
        <v/>
      </c>
      <c r="N202" s="6" t="n">
        <v>0</v>
      </c>
      <c r="O202" s="6" t="n">
        <v>9</v>
      </c>
      <c r="P202" s="6" t="n">
        <v>0</v>
      </c>
      <c r="Q202" s="7">
        <f>R202/11</f>
        <v/>
      </c>
      <c r="R202" s="6" t="n">
        <v>0</v>
      </c>
      <c r="S202" s="6" t="n">
        <v>11</v>
      </c>
      <c r="T202" s="6" t="n">
        <v>0</v>
      </c>
      <c r="U202" s="7">
        <f>V202/14</f>
        <v/>
      </c>
      <c r="V202" s="6" t="n">
        <v>0</v>
      </c>
      <c r="W202" s="6" t="n">
        <v>14</v>
      </c>
      <c r="X202" s="6" t="n">
        <v>0</v>
      </c>
      <c r="Y202" s="8" t="n">
        <v>0.1</v>
      </c>
      <c r="Z202" s="27" t="inlineStr">
        <is>
          <t>Failed (โดนบล็อก / เข้าถึงไม่ได้ (HTTP 403))</t>
        </is>
      </c>
      <c r="AA202" s="2" t="inlineStr">
        <is>
          <t>2026-10-21 00:13:37</t>
        </is>
      </c>
    </row>
    <row r="203" ht="21.95" customHeight="1">
      <c r="A203" s="2" t="n">
        <v>202</v>
      </c>
      <c r="B203" s="31" t="inlineStr">
        <is>
          <t>http://thaitechno.net</t>
        </is>
      </c>
      <c r="C203" s="2" t="inlineStr">
        <is>
          <t>ธุรกิจ</t>
        </is>
      </c>
      <c r="D203" s="10">
        <f>F203/71</f>
        <v/>
      </c>
      <c r="E203" s="11">
        <f>IF(D203&gt;=0.9,"ดีเยี่ยม",IF(D203&gt;=0.7,"ดี",IF(D203&gt;=0.5,"พอใช้","ต้องปรับปรุง")))</f>
        <v/>
      </c>
      <c r="F203" s="6">
        <f>J203+N203+R203+V203</f>
        <v/>
      </c>
      <c r="G203" s="6">
        <f>K203+O203+S203+W203</f>
        <v/>
      </c>
      <c r="H203" s="6">
        <f>L203+P203+T203+X203</f>
        <v/>
      </c>
      <c r="I203" s="7">
        <f>J203/37</f>
        <v/>
      </c>
      <c r="J203" s="6" t="n">
        <v>28</v>
      </c>
      <c r="K203" s="6" t="n">
        <v>8</v>
      </c>
      <c r="L203" s="6" t="n">
        <v>1</v>
      </c>
      <c r="M203" s="7">
        <f>N203/9</f>
        <v/>
      </c>
      <c r="N203" s="6" t="n">
        <v>9</v>
      </c>
      <c r="O203" s="6" t="n">
        <v>0</v>
      </c>
      <c r="P203" s="6" t="n">
        <v>0</v>
      </c>
      <c r="Q203" s="7">
        <f>R203/11</f>
        <v/>
      </c>
      <c r="R203" s="6" t="n">
        <v>4</v>
      </c>
      <c r="S203" s="6" t="n">
        <v>3</v>
      </c>
      <c r="T203" s="6" t="n">
        <v>4</v>
      </c>
      <c r="U203" s="7">
        <f>V203/14</f>
        <v/>
      </c>
      <c r="V203" s="6" t="n">
        <v>2</v>
      </c>
      <c r="W203" s="6" t="n">
        <v>12</v>
      </c>
      <c r="X203" s="6" t="n">
        <v>0</v>
      </c>
      <c r="Y203" s="8" t="n">
        <v>57.15</v>
      </c>
      <c r="Z203" s="9" t="inlineStr">
        <is>
          <t>Success</t>
        </is>
      </c>
      <c r="AA203" s="2" t="inlineStr">
        <is>
          <t>2026-10-08 19:23:52</t>
        </is>
      </c>
    </row>
    <row r="204" ht="21.95" customHeight="1">
      <c r="A204" s="2" t="n">
        <v>203</v>
      </c>
      <c r="B204" s="31" t="inlineStr">
        <is>
          <t>http://aobmobile.net</t>
        </is>
      </c>
      <c r="C204" s="2" t="inlineStr">
        <is>
          <t>มือถือ-พีดีเอ</t>
        </is>
      </c>
      <c r="D204" s="10">
        <f>F204/71</f>
        <v/>
      </c>
      <c r="E204" s="11">
        <f>IF(D204&gt;=0.9,"ดีเยี่ยม",IF(D204&gt;=0.7,"ดี",IF(D204&gt;=0.5,"พอใช้","ต้องปรับปรุง")))</f>
        <v/>
      </c>
      <c r="F204" s="6">
        <f>J204+N204+R204+V204</f>
        <v/>
      </c>
      <c r="G204" s="6">
        <f>K204+O204+S204+W204</f>
        <v/>
      </c>
      <c r="H204" s="6">
        <f>L204+P204+T204+X204</f>
        <v/>
      </c>
      <c r="I204" s="7">
        <f>J204/37</f>
        <v/>
      </c>
      <c r="J204" s="6" t="n">
        <v>35</v>
      </c>
      <c r="K204" s="6" t="n">
        <v>2</v>
      </c>
      <c r="L204" s="6" t="n">
        <v>0</v>
      </c>
      <c r="M204" s="7">
        <f>N204/9</f>
        <v/>
      </c>
      <c r="N204" s="6" t="n">
        <v>6</v>
      </c>
      <c r="O204" s="6" t="n">
        <v>3</v>
      </c>
      <c r="P204" s="6" t="n">
        <v>0</v>
      </c>
      <c r="Q204" s="7">
        <f>R204/11</f>
        <v/>
      </c>
      <c r="R204" s="6" t="n">
        <v>4</v>
      </c>
      <c r="S204" s="6" t="n">
        <v>3</v>
      </c>
      <c r="T204" s="6" t="n">
        <v>4</v>
      </c>
      <c r="U204" s="7">
        <f>V204/14</f>
        <v/>
      </c>
      <c r="V204" s="6" t="n">
        <v>2</v>
      </c>
      <c r="W204" s="6" t="n">
        <v>12</v>
      </c>
      <c r="X204" s="6" t="n">
        <v>0</v>
      </c>
      <c r="Y204" s="8" t="n">
        <v>17.8</v>
      </c>
      <c r="Z204" s="9" t="inlineStr">
        <is>
          <t>Success</t>
        </is>
      </c>
      <c r="AA204" s="2" t="inlineStr">
        <is>
          <t>2026-10-08 19:24:10</t>
        </is>
      </c>
    </row>
    <row r="205" ht="21.95" customHeight="1">
      <c r="A205" s="2" t="n">
        <v>204</v>
      </c>
      <c r="B205" s="31" t="inlineStr">
        <is>
          <t>http://www.dooasia.com</t>
        </is>
      </c>
      <c r="C205" s="2" t="inlineStr">
        <is>
          <t>ท่องเที่ยว</t>
        </is>
      </c>
      <c r="D205" s="10">
        <f>F205/71</f>
        <v/>
      </c>
      <c r="E205" s="11">
        <f>IF(D205&gt;=0.9,"ดีเยี่ยม",IF(D205&gt;=0.7,"ดี",IF(D205&gt;=0.5,"พอใช้","ต้องปรับปรุง")))</f>
        <v/>
      </c>
      <c r="F205" s="6">
        <f>J205+N205+R205+V205</f>
        <v/>
      </c>
      <c r="G205" s="6">
        <f>K205+O205+S205+W205</f>
        <v/>
      </c>
      <c r="H205" s="6">
        <f>L205+P205+T205+X205</f>
        <v/>
      </c>
      <c r="I205" s="7">
        <f>J205/37</f>
        <v/>
      </c>
      <c r="J205" s="6" t="n">
        <v>33</v>
      </c>
      <c r="K205" s="6" t="n">
        <v>3</v>
      </c>
      <c r="L205" s="6" t="n">
        <v>1</v>
      </c>
      <c r="M205" s="7">
        <f>N205/9</f>
        <v/>
      </c>
      <c r="N205" s="6" t="n">
        <v>7</v>
      </c>
      <c r="O205" s="6" t="n">
        <v>1</v>
      </c>
      <c r="P205" s="6" t="n">
        <v>1</v>
      </c>
      <c r="Q205" s="7">
        <f>R205/11</f>
        <v/>
      </c>
      <c r="R205" s="6" t="n">
        <v>4</v>
      </c>
      <c r="S205" s="6" t="n">
        <v>3</v>
      </c>
      <c r="T205" s="6" t="n">
        <v>4</v>
      </c>
      <c r="U205" s="7">
        <f>V205/14</f>
        <v/>
      </c>
      <c r="V205" s="6" t="n">
        <v>2</v>
      </c>
      <c r="W205" s="6" t="n">
        <v>12</v>
      </c>
      <c r="X205" s="6" t="n">
        <v>0</v>
      </c>
      <c r="Y205" s="8" t="n">
        <v>19.06</v>
      </c>
      <c r="Z205" s="9" t="inlineStr">
        <is>
          <t>Success</t>
        </is>
      </c>
      <c r="AA205" s="2" t="inlineStr">
        <is>
          <t>2026-10-08 19:24:29</t>
        </is>
      </c>
    </row>
    <row r="206" ht="21.95" customHeight="1">
      <c r="A206" s="2" t="n">
        <v>205</v>
      </c>
      <c r="B206" s="31" t="inlineStr">
        <is>
          <t>http://www.presscouncil.or.th</t>
        </is>
      </c>
      <c r="C206" s="2" t="inlineStr">
        <is>
          <t>หน่วยงานราชการ,องค์กร</t>
        </is>
      </c>
      <c r="D206" s="4">
        <f>F206/71</f>
        <v/>
      </c>
      <c r="E206" s="5">
        <f>IF(D206&gt;=0.9,"ดีเยี่ยม",IF(D206&gt;=0.7,"ดี",IF(D206&gt;=0.5,"พอใช้","ต้องปรับปรุง")))</f>
        <v/>
      </c>
      <c r="F206" s="6">
        <f>J206+N206+R206+V206</f>
        <v/>
      </c>
      <c r="G206" s="6">
        <f>K206+O206+S206+W206</f>
        <v/>
      </c>
      <c r="H206" s="6">
        <f>L206+P206+T206+X206</f>
        <v/>
      </c>
      <c r="I206" s="7">
        <f>J206/37</f>
        <v/>
      </c>
      <c r="J206" s="6" t="n">
        <v>36</v>
      </c>
      <c r="K206" s="6" t="n">
        <v>1</v>
      </c>
      <c r="L206" s="6" t="n">
        <v>0</v>
      </c>
      <c r="M206" s="7">
        <f>N206/9</f>
        <v/>
      </c>
      <c r="N206" s="6" t="n">
        <v>9</v>
      </c>
      <c r="O206" s="6" t="n">
        <v>0</v>
      </c>
      <c r="P206" s="6" t="n">
        <v>0</v>
      </c>
      <c r="Q206" s="7">
        <f>R206/11</f>
        <v/>
      </c>
      <c r="R206" s="6" t="n">
        <v>5</v>
      </c>
      <c r="S206" s="6" t="n">
        <v>3</v>
      </c>
      <c r="T206" s="6" t="n">
        <v>3</v>
      </c>
      <c r="U206" s="7">
        <f>V206/14</f>
        <v/>
      </c>
      <c r="V206" s="6" t="n">
        <v>2</v>
      </c>
      <c r="W206" s="6" t="n">
        <v>11</v>
      </c>
      <c r="X206" s="6" t="n">
        <v>1</v>
      </c>
      <c r="Y206" s="8" t="n">
        <v>11.58</v>
      </c>
      <c r="Z206" s="9" t="inlineStr">
        <is>
          <t>Success</t>
        </is>
      </c>
      <c r="AA206" s="2" t="inlineStr">
        <is>
          <t>2026-10-08 19:24:40</t>
        </is>
      </c>
    </row>
    <row r="207" ht="21.95" customHeight="1">
      <c r="A207" s="2" t="n">
        <v>206</v>
      </c>
      <c r="B207" s="31" t="inlineStr">
        <is>
          <t>http://www.edctravel.co.th</t>
        </is>
      </c>
      <c r="C207" s="2" t="inlineStr">
        <is>
          <t>ท่องเที่ยว</t>
        </is>
      </c>
      <c r="D207" s="10">
        <f>F207/71</f>
        <v/>
      </c>
      <c r="E207" s="11">
        <f>IF(D207&gt;=0.9,"ดีเยี่ยม",IF(D207&gt;=0.7,"ดี",IF(D207&gt;=0.5,"พอใช้","ต้องปรับปรุง")))</f>
        <v/>
      </c>
      <c r="F207" s="6">
        <f>J207+N207+R207+V207</f>
        <v/>
      </c>
      <c r="G207" s="6">
        <f>K207+O207+S207+W207</f>
        <v/>
      </c>
      <c r="H207" s="6">
        <f>L207+P207+T207+X207</f>
        <v/>
      </c>
      <c r="I207" s="7">
        <f>J207/37</f>
        <v/>
      </c>
      <c r="J207" s="6" t="n">
        <v>32</v>
      </c>
      <c r="K207" s="6" t="n">
        <v>5</v>
      </c>
      <c r="L207" s="6" t="n">
        <v>0</v>
      </c>
      <c r="M207" s="7">
        <f>N207/9</f>
        <v/>
      </c>
      <c r="N207" s="6" t="n">
        <v>7</v>
      </c>
      <c r="O207" s="6" t="n">
        <v>2</v>
      </c>
      <c r="P207" s="6" t="n">
        <v>0</v>
      </c>
      <c r="Q207" s="7">
        <f>R207/11</f>
        <v/>
      </c>
      <c r="R207" s="6" t="n">
        <v>5</v>
      </c>
      <c r="S207" s="6" t="n">
        <v>3</v>
      </c>
      <c r="T207" s="6" t="n">
        <v>3</v>
      </c>
      <c r="U207" s="7">
        <f>V207/14</f>
        <v/>
      </c>
      <c r="V207" s="6" t="n">
        <v>2</v>
      </c>
      <c r="W207" s="6" t="n">
        <v>12</v>
      </c>
      <c r="X207" s="6" t="n">
        <v>0</v>
      </c>
      <c r="Y207" s="8" t="n">
        <v>32.46</v>
      </c>
      <c r="Z207" s="9" t="inlineStr">
        <is>
          <t>Success</t>
        </is>
      </c>
      <c r="AA207" s="2" t="inlineStr">
        <is>
          <t>2026-10-08 19:25:13</t>
        </is>
      </c>
    </row>
    <row r="208" ht="21.95" customHeight="1">
      <c r="A208" s="2" t="n">
        <v>207</v>
      </c>
      <c r="B208" s="31" t="inlineStr">
        <is>
          <t>http://www.kanlayano.org</t>
        </is>
      </c>
      <c r="C208" s="2" t="inlineStr">
        <is>
          <t>ศิลปะ-วัฒนธรรม</t>
        </is>
      </c>
      <c r="D208" s="10">
        <f>F208/71</f>
        <v/>
      </c>
      <c r="E208" s="11">
        <f>IF(D208&gt;=0.9,"ดีเยี่ยม",IF(D208&gt;=0.7,"ดี",IF(D208&gt;=0.5,"พอใช้","ต้องปรับปรุง")))</f>
        <v/>
      </c>
      <c r="F208" s="6">
        <f>J208+N208+R208+V208</f>
        <v/>
      </c>
      <c r="G208" s="6">
        <f>K208+O208+S208+W208</f>
        <v/>
      </c>
      <c r="H208" s="6">
        <f>L208+P208+T208+X208</f>
        <v/>
      </c>
      <c r="I208" s="7">
        <f>J208/37</f>
        <v/>
      </c>
      <c r="J208" s="6" t="n">
        <v>31</v>
      </c>
      <c r="K208" s="6" t="n">
        <v>6</v>
      </c>
      <c r="L208" s="6" t="n">
        <v>0</v>
      </c>
      <c r="M208" s="7">
        <f>N208/9</f>
        <v/>
      </c>
      <c r="N208" s="6" t="n">
        <v>8</v>
      </c>
      <c r="O208" s="6" t="n">
        <v>1</v>
      </c>
      <c r="P208" s="6" t="n">
        <v>0</v>
      </c>
      <c r="Q208" s="7">
        <f>R208/11</f>
        <v/>
      </c>
      <c r="R208" s="6" t="n">
        <v>4</v>
      </c>
      <c r="S208" s="6" t="n">
        <v>3</v>
      </c>
      <c r="T208" s="6" t="n">
        <v>4</v>
      </c>
      <c r="U208" s="7">
        <f>V208/14</f>
        <v/>
      </c>
      <c r="V208" s="6" t="n">
        <v>2</v>
      </c>
      <c r="W208" s="6" t="n">
        <v>12</v>
      </c>
      <c r="X208" s="6" t="n">
        <v>0</v>
      </c>
      <c r="Y208" s="8" t="n">
        <v>21.05</v>
      </c>
      <c r="Z208" s="9" t="inlineStr">
        <is>
          <t>Success</t>
        </is>
      </c>
      <c r="AA208" s="2" t="inlineStr">
        <is>
          <t>2026-10-09 12:11:58</t>
        </is>
      </c>
    </row>
    <row r="209" ht="21.95" customHeight="1">
      <c r="A209" s="2" t="n">
        <v>208</v>
      </c>
      <c r="B209" s="31" t="inlineStr">
        <is>
          <t>http://www.dara2you.com</t>
        </is>
      </c>
      <c r="C209" s="2" t="inlineStr">
        <is>
          <t>บันเทิง</t>
        </is>
      </c>
      <c r="D209" s="4">
        <f>F209/71</f>
        <v/>
      </c>
      <c r="E209" s="5">
        <f>IF(D209&gt;=0.9,"ดีเยี่ยม",IF(D209&gt;=0.7,"ดี",IF(D209&gt;=0.5,"พอใช้","ต้องปรับปรุง")))</f>
        <v/>
      </c>
      <c r="F209" s="6">
        <f>J209+N209+R209+V209</f>
        <v/>
      </c>
      <c r="G209" s="6">
        <f>K209+O209+S209+W209</f>
        <v/>
      </c>
      <c r="H209" s="6">
        <f>L209+P209+T209+X209</f>
        <v/>
      </c>
      <c r="I209" s="7">
        <f>J209/37</f>
        <v/>
      </c>
      <c r="J209" s="6" t="n">
        <v>36</v>
      </c>
      <c r="K209" s="6" t="n">
        <v>1</v>
      </c>
      <c r="L209" s="6" t="n">
        <v>0</v>
      </c>
      <c r="M209" s="7">
        <f>N209/9</f>
        <v/>
      </c>
      <c r="N209" s="6" t="n">
        <v>6</v>
      </c>
      <c r="O209" s="6" t="n">
        <v>3</v>
      </c>
      <c r="P209" s="6" t="n">
        <v>0</v>
      </c>
      <c r="Q209" s="7">
        <f>R209/11</f>
        <v/>
      </c>
      <c r="R209" s="6" t="n">
        <v>7</v>
      </c>
      <c r="S209" s="6" t="n">
        <v>1</v>
      </c>
      <c r="T209" s="6" t="n">
        <v>3</v>
      </c>
      <c r="U209" s="7">
        <f>V209/14</f>
        <v/>
      </c>
      <c r="V209" s="6" t="n">
        <v>4</v>
      </c>
      <c r="W209" s="6" t="n">
        <v>8</v>
      </c>
      <c r="X209" s="6" t="n">
        <v>2</v>
      </c>
      <c r="Y209" s="8" t="n">
        <v>42.84</v>
      </c>
      <c r="Z209" s="9" t="inlineStr">
        <is>
          <t>Success</t>
        </is>
      </c>
      <c r="AA209" s="2" t="inlineStr">
        <is>
          <t>2026-10-08 19:26:15</t>
        </is>
      </c>
    </row>
    <row r="210" ht="21.95" customHeight="1">
      <c r="A210" s="2" t="n">
        <v>209</v>
      </c>
      <c r="B210" s="31" t="inlineStr">
        <is>
          <t>http://clinictech.ops.go.th</t>
        </is>
      </c>
      <c r="C210" s="2" t="inlineStr">
        <is>
          <t>หน่วยงานราชการ,องค์กร</t>
        </is>
      </c>
      <c r="D210" s="25">
        <f>F210/71</f>
        <v/>
      </c>
      <c r="E210" s="26">
        <f>IF(D210&gt;=0.9,"ดีเยี่ยม",IF(D210&gt;=0.7,"ดี",IF(D210&gt;=0.5,"พอใช้","ต้องปรับปรุง")))</f>
        <v/>
      </c>
      <c r="F210" s="6">
        <f>J210+N210+R210+V210</f>
        <v/>
      </c>
      <c r="G210" s="6">
        <f>K210+O210+S210+W210</f>
        <v/>
      </c>
      <c r="H210" s="6">
        <f>L210+P210+T210+X210</f>
        <v/>
      </c>
      <c r="I210" s="7">
        <f>J210/37</f>
        <v/>
      </c>
      <c r="J210" s="6" t="n">
        <v>0</v>
      </c>
      <c r="K210" s="6" t="n">
        <v>37</v>
      </c>
      <c r="L210" s="6" t="n">
        <v>0</v>
      </c>
      <c r="M210" s="7">
        <f>N210/9</f>
        <v/>
      </c>
      <c r="N210" s="6" t="n">
        <v>0</v>
      </c>
      <c r="O210" s="6" t="n">
        <v>9</v>
      </c>
      <c r="P210" s="6" t="n">
        <v>0</v>
      </c>
      <c r="Q210" s="7">
        <f>R210/11</f>
        <v/>
      </c>
      <c r="R210" s="6" t="n">
        <v>0</v>
      </c>
      <c r="S210" s="6" t="n">
        <v>11</v>
      </c>
      <c r="T210" s="6" t="n">
        <v>0</v>
      </c>
      <c r="U210" s="7">
        <f>V210/14</f>
        <v/>
      </c>
      <c r="V210" s="6" t="n">
        <v>0</v>
      </c>
      <c r="W210" s="6" t="n">
        <v>14</v>
      </c>
      <c r="X210" s="6" t="n">
        <v>0</v>
      </c>
      <c r="Y210" s="8" t="n">
        <v>24.48</v>
      </c>
      <c r="Z210" s="27" t="inlineStr">
        <is>
          <t>Failed (Timeout (เว็บไม่ตอบ))</t>
        </is>
      </c>
      <c r="AA210" s="2" t="inlineStr">
        <is>
          <t>2026-10-21 00:13:37</t>
        </is>
      </c>
    </row>
    <row r="211" ht="21.95" customHeight="1">
      <c r="A211" s="2" t="n">
        <v>210</v>
      </c>
      <c r="B211" s="31" t="inlineStr">
        <is>
          <t>http://www.siamliverpool.club</t>
        </is>
      </c>
      <c r="C211" s="2" t="inlineStr">
        <is>
          <t>กีฬา</t>
        </is>
      </c>
      <c r="D211" s="10">
        <f>F211/71</f>
        <v/>
      </c>
      <c r="E211" s="11">
        <f>IF(D211&gt;=0.9,"ดีเยี่ยม",IF(D211&gt;=0.7,"ดี",IF(D211&gt;=0.5,"พอใช้","ต้องปรับปรุง")))</f>
        <v/>
      </c>
      <c r="F211" s="6">
        <f>J211+N211+R211+V211</f>
        <v/>
      </c>
      <c r="G211" s="6">
        <f>K211+O211+S211+W211</f>
        <v/>
      </c>
      <c r="H211" s="6">
        <f>L211+P211+T211+X211</f>
        <v/>
      </c>
      <c r="I211" s="7">
        <f>J211/37</f>
        <v/>
      </c>
      <c r="J211" s="6" t="n">
        <v>32</v>
      </c>
      <c r="K211" s="6" t="n">
        <v>4</v>
      </c>
      <c r="L211" s="6" t="n">
        <v>1</v>
      </c>
      <c r="M211" s="7">
        <f>N211/9</f>
        <v/>
      </c>
      <c r="N211" s="6" t="n">
        <v>8</v>
      </c>
      <c r="O211" s="6" t="n">
        <v>1</v>
      </c>
      <c r="P211" s="6" t="n">
        <v>0</v>
      </c>
      <c r="Q211" s="7">
        <f>R211/11</f>
        <v/>
      </c>
      <c r="R211" s="6" t="n">
        <v>3</v>
      </c>
      <c r="S211" s="6" t="n">
        <v>4</v>
      </c>
      <c r="T211" s="6" t="n">
        <v>4</v>
      </c>
      <c r="U211" s="7">
        <f>V211/14</f>
        <v/>
      </c>
      <c r="V211" s="6" t="n">
        <v>1</v>
      </c>
      <c r="W211" s="6" t="n">
        <v>13</v>
      </c>
      <c r="X211" s="6" t="n">
        <v>0</v>
      </c>
      <c r="Y211" s="8" t="n">
        <v>16.68</v>
      </c>
      <c r="Z211" s="9" t="inlineStr">
        <is>
          <t>Success</t>
        </is>
      </c>
      <c r="AA211" s="2" t="inlineStr">
        <is>
          <t>2026-10-08 19:27:17</t>
        </is>
      </c>
    </row>
    <row r="212" ht="21.95" customHeight="1">
      <c r="A212" s="2" t="n">
        <v>211</v>
      </c>
      <c r="B212" s="31" t="inlineStr">
        <is>
          <t>http://www.moomove.com</t>
        </is>
      </c>
      <c r="C212" s="2" t="inlineStr">
        <is>
          <t>ธุรกิจ</t>
        </is>
      </c>
      <c r="D212" s="10">
        <f>F212/71</f>
        <v/>
      </c>
      <c r="E212" s="11">
        <f>IF(D212&gt;=0.9,"ดีเยี่ยม",IF(D212&gt;=0.7,"ดี",IF(D212&gt;=0.5,"พอใช้","ต้องปรับปรุง")))</f>
        <v/>
      </c>
      <c r="F212" s="6">
        <f>J212+N212+R212+V212</f>
        <v/>
      </c>
      <c r="G212" s="6">
        <f>K212+O212+S212+W212</f>
        <v/>
      </c>
      <c r="H212" s="6">
        <f>L212+P212+T212+X212</f>
        <v/>
      </c>
      <c r="I212" s="7">
        <f>J212/37</f>
        <v/>
      </c>
      <c r="J212" s="6" t="n">
        <v>36</v>
      </c>
      <c r="K212" s="6" t="n">
        <v>1</v>
      </c>
      <c r="L212" s="6" t="n">
        <v>0</v>
      </c>
      <c r="M212" s="7">
        <f>N212/9</f>
        <v/>
      </c>
      <c r="N212" s="6" t="n">
        <v>6</v>
      </c>
      <c r="O212" s="6" t="n">
        <v>0</v>
      </c>
      <c r="P212" s="6" t="n">
        <v>3</v>
      </c>
      <c r="Q212" s="7">
        <f>R212/11</f>
        <v/>
      </c>
      <c r="R212" s="6" t="n">
        <v>4</v>
      </c>
      <c r="S212" s="6" t="n">
        <v>3</v>
      </c>
      <c r="T212" s="6" t="n">
        <v>4</v>
      </c>
      <c r="U212" s="7">
        <f>V212/14</f>
        <v/>
      </c>
      <c r="V212" s="6" t="n">
        <v>2</v>
      </c>
      <c r="W212" s="6" t="n">
        <v>12</v>
      </c>
      <c r="X212" s="6" t="n">
        <v>0</v>
      </c>
      <c r="Y212" s="8" t="n">
        <v>15.43</v>
      </c>
      <c r="Z212" s="9" t="inlineStr">
        <is>
          <t>Success</t>
        </is>
      </c>
      <c r="AA212" s="2" t="inlineStr">
        <is>
          <t>2026-10-08 19:27:32</t>
        </is>
      </c>
    </row>
    <row r="213" ht="21.95" customHeight="1">
      <c r="A213" s="2" t="n">
        <v>212</v>
      </c>
      <c r="B213" s="31" t="inlineStr">
        <is>
          <t>http://www.hamanan.com</t>
        </is>
      </c>
      <c r="C213" s="2" t="inlineStr">
        <is>
          <t>ท่องเที่ยว</t>
        </is>
      </c>
      <c r="D213" s="25">
        <f>F213/71</f>
        <v/>
      </c>
      <c r="E213" s="26">
        <f>IF(D213&gt;=0.9,"ดีเยี่ยม",IF(D213&gt;=0.7,"ดี",IF(D213&gt;=0.5,"พอใช้","ต้องปรับปรุง")))</f>
        <v/>
      </c>
      <c r="F213" s="6">
        <f>J213+N213+R213+V213</f>
        <v/>
      </c>
      <c r="G213" s="6">
        <f>K213+O213+S213+W213</f>
        <v/>
      </c>
      <c r="H213" s="6">
        <f>L213+P213+T213+X213</f>
        <v/>
      </c>
      <c r="I213" s="7">
        <f>J213/37</f>
        <v/>
      </c>
      <c r="J213" s="6" t="n">
        <v>0</v>
      </c>
      <c r="K213" s="6" t="n">
        <v>37</v>
      </c>
      <c r="L213" s="6" t="n">
        <v>0</v>
      </c>
      <c r="M213" s="7">
        <f>N213/9</f>
        <v/>
      </c>
      <c r="N213" s="6" t="n">
        <v>0</v>
      </c>
      <c r="O213" s="6" t="n">
        <v>9</v>
      </c>
      <c r="P213" s="6" t="n">
        <v>0</v>
      </c>
      <c r="Q213" s="7">
        <f>R213/11</f>
        <v/>
      </c>
      <c r="R213" s="6" t="n">
        <v>0</v>
      </c>
      <c r="S213" s="6" t="n">
        <v>11</v>
      </c>
      <c r="T213" s="6" t="n">
        <v>0</v>
      </c>
      <c r="U213" s="7">
        <f>V213/14</f>
        <v/>
      </c>
      <c r="V213" s="6" t="n">
        <v>0</v>
      </c>
      <c r="W213" s="6" t="n">
        <v>14</v>
      </c>
      <c r="X213" s="6" t="n">
        <v>0</v>
      </c>
      <c r="Y213" s="8" t="n">
        <v>0.11</v>
      </c>
      <c r="Z213" s="27" t="inlineStr">
        <is>
          <t>Failed (จอขาว / ไม่มีเนื้อหา (Blank Screen))</t>
        </is>
      </c>
      <c r="AA213" s="2" t="inlineStr">
        <is>
          <t>2026-10-21 00:13:37</t>
        </is>
      </c>
    </row>
    <row r="214" ht="21.95" customHeight="1">
      <c r="A214" s="2" t="n">
        <v>213</v>
      </c>
      <c r="B214" s="31" t="inlineStr">
        <is>
          <t>http://www.vmodtech.com</t>
        </is>
      </c>
      <c r="C214" s="2" t="inlineStr">
        <is>
          <t>คอมพิวเตอร์</t>
        </is>
      </c>
      <c r="D214" s="10">
        <f>F214/71</f>
        <v/>
      </c>
      <c r="E214" s="11">
        <f>IF(D214&gt;=0.9,"ดีเยี่ยม",IF(D214&gt;=0.7,"ดี",IF(D214&gt;=0.5,"พอใช้","ต้องปรับปรุง")))</f>
        <v/>
      </c>
      <c r="F214" s="6">
        <f>J214+N214+R214+V214</f>
        <v/>
      </c>
      <c r="G214" s="6">
        <f>K214+O214+S214+W214</f>
        <v/>
      </c>
      <c r="H214" s="6">
        <f>L214+P214+T214+X214</f>
        <v/>
      </c>
      <c r="I214" s="7">
        <f>J214/37</f>
        <v/>
      </c>
      <c r="J214" s="6" t="n">
        <v>33</v>
      </c>
      <c r="K214" s="6" t="n">
        <v>3</v>
      </c>
      <c r="L214" s="6" t="n">
        <v>1</v>
      </c>
      <c r="M214" s="7">
        <f>N214/9</f>
        <v/>
      </c>
      <c r="N214" s="6" t="n">
        <v>6</v>
      </c>
      <c r="O214" s="6" t="n">
        <v>3</v>
      </c>
      <c r="P214" s="6" t="n">
        <v>0</v>
      </c>
      <c r="Q214" s="7">
        <f>R214/11</f>
        <v/>
      </c>
      <c r="R214" s="6" t="n">
        <v>2</v>
      </c>
      <c r="S214" s="6" t="n">
        <v>4</v>
      </c>
      <c r="T214" s="6" t="n">
        <v>5</v>
      </c>
      <c r="U214" s="7">
        <f>V214/14</f>
        <v/>
      </c>
      <c r="V214" s="6" t="n">
        <v>1</v>
      </c>
      <c r="W214" s="6" t="n">
        <v>13</v>
      </c>
      <c r="X214" s="6" t="n">
        <v>0</v>
      </c>
      <c r="Y214" s="8" t="n">
        <v>116.87</v>
      </c>
      <c r="Z214" s="9" t="inlineStr">
        <is>
          <t>Success</t>
        </is>
      </c>
      <c r="AA214" s="2" t="inlineStr">
        <is>
          <t>2026-10-08 19:30:51</t>
        </is>
      </c>
    </row>
    <row r="215" ht="21.95" customHeight="1">
      <c r="A215" s="2" t="n">
        <v>214</v>
      </c>
      <c r="B215" s="31" t="inlineStr">
        <is>
          <t>http://www.suanboard.net</t>
        </is>
      </c>
      <c r="C215" s="2" t="inlineStr">
        <is>
          <t>การศึกษา</t>
        </is>
      </c>
      <c r="D215" s="10">
        <f>F215/71</f>
        <v/>
      </c>
      <c r="E215" s="11">
        <f>IF(D215&gt;=0.9,"ดีเยี่ยม",IF(D215&gt;=0.7,"ดี",IF(D215&gt;=0.5,"พอใช้","ต้องปรับปรุง")))</f>
        <v/>
      </c>
      <c r="F215" s="6">
        <f>J215+N215+R215+V215</f>
        <v/>
      </c>
      <c r="G215" s="6">
        <f>K215+O215+S215+W215</f>
        <v/>
      </c>
      <c r="H215" s="6">
        <f>L215+P215+T215+X215</f>
        <v/>
      </c>
      <c r="I215" s="7">
        <f>J215/37</f>
        <v/>
      </c>
      <c r="J215" s="6" t="n">
        <v>31</v>
      </c>
      <c r="K215" s="6" t="n">
        <v>5</v>
      </c>
      <c r="L215" s="6" t="n">
        <v>1</v>
      </c>
      <c r="M215" s="7">
        <f>N215/9</f>
        <v/>
      </c>
      <c r="N215" s="6" t="n">
        <v>8</v>
      </c>
      <c r="O215" s="6" t="n">
        <v>1</v>
      </c>
      <c r="P215" s="6" t="n">
        <v>0</v>
      </c>
      <c r="Q215" s="7">
        <f>R215/11</f>
        <v/>
      </c>
      <c r="R215" s="6" t="n">
        <v>1</v>
      </c>
      <c r="S215" s="6" t="n">
        <v>3</v>
      </c>
      <c r="T215" s="6" t="n">
        <v>7</v>
      </c>
      <c r="U215" s="7">
        <f>V215/14</f>
        <v/>
      </c>
      <c r="V215" s="6" t="n">
        <v>2</v>
      </c>
      <c r="W215" s="6" t="n">
        <v>12</v>
      </c>
      <c r="X215" s="6" t="n">
        <v>0</v>
      </c>
      <c r="Y215" s="8" t="n">
        <v>45.05</v>
      </c>
      <c r="Z215" s="9" t="inlineStr">
        <is>
          <t>Success</t>
        </is>
      </c>
      <c r="AA215" s="2" t="inlineStr">
        <is>
          <t>2026-10-08 19:31:36</t>
        </is>
      </c>
    </row>
    <row r="216" ht="21.95" customHeight="1">
      <c r="A216" s="2" t="n">
        <v>215</v>
      </c>
      <c r="B216" s="31" t="inlineStr">
        <is>
          <t>http://www.debutmail.com</t>
        </is>
      </c>
      <c r="C216" s="2" t="inlineStr">
        <is>
          <t>อินเทอร์เน็ต</t>
        </is>
      </c>
      <c r="D216" s="10">
        <f>F216/71</f>
        <v/>
      </c>
      <c r="E216" s="11">
        <f>IF(D216&gt;=0.9,"ดีเยี่ยม",IF(D216&gt;=0.7,"ดี",IF(D216&gt;=0.5,"พอใช้","ต้องปรับปรุง")))</f>
        <v/>
      </c>
      <c r="F216" s="6">
        <f>J216+N216+R216+V216</f>
        <v/>
      </c>
      <c r="G216" s="6">
        <f>K216+O216+S216+W216</f>
        <v/>
      </c>
      <c r="H216" s="6">
        <f>L216+P216+T216+X216</f>
        <v/>
      </c>
      <c r="I216" s="7">
        <f>J216/37</f>
        <v/>
      </c>
      <c r="J216" s="6" t="n">
        <v>32</v>
      </c>
      <c r="K216" s="6" t="n">
        <v>5</v>
      </c>
      <c r="L216" s="6" t="n">
        <v>0</v>
      </c>
      <c r="M216" s="7">
        <f>N216/9</f>
        <v/>
      </c>
      <c r="N216" s="6" t="n">
        <v>8</v>
      </c>
      <c r="O216" s="6" t="n">
        <v>0</v>
      </c>
      <c r="P216" s="6" t="n">
        <v>1</v>
      </c>
      <c r="Q216" s="7">
        <f>R216/11</f>
        <v/>
      </c>
      <c r="R216" s="6" t="n">
        <v>5</v>
      </c>
      <c r="S216" s="6" t="n">
        <v>3</v>
      </c>
      <c r="T216" s="6" t="n">
        <v>3</v>
      </c>
      <c r="U216" s="7">
        <f>V216/14</f>
        <v/>
      </c>
      <c r="V216" s="6" t="n">
        <v>3</v>
      </c>
      <c r="W216" s="6" t="n">
        <v>11</v>
      </c>
      <c r="X216" s="6" t="n">
        <v>0</v>
      </c>
      <c r="Y216" s="8" t="n">
        <v>29.65</v>
      </c>
      <c r="Z216" s="9" t="inlineStr">
        <is>
          <t>Success</t>
        </is>
      </c>
      <c r="AA216" s="2" t="inlineStr">
        <is>
          <t>2026-10-08 19:32:05</t>
        </is>
      </c>
    </row>
    <row r="217" ht="21.95" customHeight="1">
      <c r="A217" s="2" t="n">
        <v>216</v>
      </c>
      <c r="B217" s="31" t="inlineStr">
        <is>
          <t>http://www.mono-mobile.com</t>
        </is>
      </c>
      <c r="C217" s="2" t="inlineStr">
        <is>
          <t>บันเทิง</t>
        </is>
      </c>
      <c r="D217" s="4">
        <f>F217/71</f>
        <v/>
      </c>
      <c r="E217" s="5">
        <f>IF(D217&gt;=0.9,"ดีเยี่ยม",IF(D217&gt;=0.7,"ดี",IF(D217&gt;=0.5,"พอใช้","ต้องปรับปรุง")))</f>
        <v/>
      </c>
      <c r="F217" s="6">
        <f>J217+N217+R217+V217</f>
        <v/>
      </c>
      <c r="G217" s="6">
        <f>K217+O217+S217+W217</f>
        <v/>
      </c>
      <c r="H217" s="6">
        <f>L217+P217+T217+X217</f>
        <v/>
      </c>
      <c r="I217" s="7">
        <f>J217/37</f>
        <v/>
      </c>
      <c r="J217" s="6" t="n">
        <v>35</v>
      </c>
      <c r="K217" s="6" t="n">
        <v>2</v>
      </c>
      <c r="L217" s="6" t="n">
        <v>0</v>
      </c>
      <c r="M217" s="7">
        <f>N217/9</f>
        <v/>
      </c>
      <c r="N217" s="6" t="n">
        <v>9</v>
      </c>
      <c r="O217" s="6" t="n">
        <v>0</v>
      </c>
      <c r="P217" s="6" t="n">
        <v>0</v>
      </c>
      <c r="Q217" s="7">
        <f>R217/11</f>
        <v/>
      </c>
      <c r="R217" s="6" t="n">
        <v>6</v>
      </c>
      <c r="S217" s="6" t="n">
        <v>3</v>
      </c>
      <c r="T217" s="6" t="n">
        <v>2</v>
      </c>
      <c r="U217" s="7">
        <f>V217/14</f>
        <v/>
      </c>
      <c r="V217" s="6" t="n">
        <v>3</v>
      </c>
      <c r="W217" s="6" t="n">
        <v>11</v>
      </c>
      <c r="X217" s="6" t="n">
        <v>0</v>
      </c>
      <c r="Y217" s="8" t="n">
        <v>11.11</v>
      </c>
      <c r="Z217" s="9" t="inlineStr">
        <is>
          <t>Success</t>
        </is>
      </c>
      <c r="AA217" s="2" t="inlineStr">
        <is>
          <t>2026-10-08 19:32:16</t>
        </is>
      </c>
    </row>
    <row r="218" ht="21.95" customHeight="1">
      <c r="A218" s="2" t="n">
        <v>217</v>
      </c>
      <c r="B218" s="31" t="inlineStr">
        <is>
          <t>http://www.bangkokpost.co.th</t>
        </is>
      </c>
      <c r="C218" s="2" t="inlineStr">
        <is>
          <t>ธุรกิจ</t>
        </is>
      </c>
      <c r="D218" s="10">
        <f>F218/71</f>
        <v/>
      </c>
      <c r="E218" s="11">
        <f>IF(D218&gt;=0.9,"ดีเยี่ยม",IF(D218&gt;=0.7,"ดี",IF(D218&gt;=0.5,"พอใช้","ต้องปรับปรุง")))</f>
        <v/>
      </c>
      <c r="F218" s="6">
        <f>J218+N218+R218+V218</f>
        <v/>
      </c>
      <c r="G218" s="6">
        <f>K218+O218+S218+W218</f>
        <v/>
      </c>
      <c r="H218" s="6">
        <f>L218+P218+T218+X218</f>
        <v/>
      </c>
      <c r="I218" s="7">
        <f>J218/37</f>
        <v/>
      </c>
      <c r="J218" s="6" t="n">
        <v>32</v>
      </c>
      <c r="K218" s="6" t="n">
        <v>5</v>
      </c>
      <c r="L218" s="6" t="n">
        <v>0</v>
      </c>
      <c r="M218" s="7">
        <f>N218/9</f>
        <v/>
      </c>
      <c r="N218" s="6" t="n">
        <v>5</v>
      </c>
      <c r="O218" s="6" t="n">
        <v>3</v>
      </c>
      <c r="P218" s="6" t="n">
        <v>1</v>
      </c>
      <c r="Q218" s="7">
        <f>R218/11</f>
        <v/>
      </c>
      <c r="R218" s="6" t="n">
        <v>4</v>
      </c>
      <c r="S218" s="6" t="n">
        <v>3</v>
      </c>
      <c r="T218" s="6" t="n">
        <v>4</v>
      </c>
      <c r="U218" s="7">
        <f>V218/14</f>
        <v/>
      </c>
      <c r="V218" s="6" t="n">
        <v>2</v>
      </c>
      <c r="W218" s="6" t="n">
        <v>11</v>
      </c>
      <c r="X218" s="6" t="n">
        <v>1</v>
      </c>
      <c r="Y218" s="8" t="n">
        <v>15.35</v>
      </c>
      <c r="Z218" s="9" t="inlineStr">
        <is>
          <t>Success</t>
        </is>
      </c>
      <c r="AA218" s="2" t="inlineStr">
        <is>
          <t>2026-10-08 19:32:32</t>
        </is>
      </c>
    </row>
    <row r="219" ht="21.95" customHeight="1">
      <c r="A219" s="2" t="n">
        <v>218</v>
      </c>
      <c r="B219" s="31" t="inlineStr">
        <is>
          <t>http://www.pharmacafe.com</t>
        </is>
      </c>
      <c r="C219" s="2" t="inlineStr">
        <is>
          <t>สุขภาพ</t>
        </is>
      </c>
      <c r="D219" s="10">
        <f>F219/71</f>
        <v/>
      </c>
      <c r="E219" s="11">
        <f>IF(D219&gt;=0.9,"ดีเยี่ยม",IF(D219&gt;=0.7,"ดี",IF(D219&gt;=0.5,"พอใช้","ต้องปรับปรุง")))</f>
        <v/>
      </c>
      <c r="F219" s="6">
        <f>J219+N219+R219+V219</f>
        <v/>
      </c>
      <c r="G219" s="6">
        <f>K219+O219+S219+W219</f>
        <v/>
      </c>
      <c r="H219" s="6">
        <f>L219+P219+T219+X219</f>
        <v/>
      </c>
      <c r="I219" s="7">
        <f>J219/37</f>
        <v/>
      </c>
      <c r="J219" s="6" t="n">
        <v>33</v>
      </c>
      <c r="K219" s="6" t="n">
        <v>4</v>
      </c>
      <c r="L219" s="6" t="n">
        <v>0</v>
      </c>
      <c r="M219" s="7">
        <f>N219/9</f>
        <v/>
      </c>
      <c r="N219" s="6" t="n">
        <v>6</v>
      </c>
      <c r="O219" s="6" t="n">
        <v>3</v>
      </c>
      <c r="P219" s="6" t="n">
        <v>0</v>
      </c>
      <c r="Q219" s="7">
        <f>R219/11</f>
        <v/>
      </c>
      <c r="R219" s="6" t="n">
        <v>6</v>
      </c>
      <c r="S219" s="6" t="n">
        <v>3</v>
      </c>
      <c r="T219" s="6" t="n">
        <v>2</v>
      </c>
      <c r="U219" s="7">
        <f>V219/14</f>
        <v/>
      </c>
      <c r="V219" s="6" t="n">
        <v>2</v>
      </c>
      <c r="W219" s="6" t="n">
        <v>12</v>
      </c>
      <c r="X219" s="6" t="n">
        <v>0</v>
      </c>
      <c r="Y219" s="8" t="n">
        <v>42.79</v>
      </c>
      <c r="Z219" s="9" t="inlineStr">
        <is>
          <t>Success</t>
        </is>
      </c>
      <c r="AA219" s="2" t="inlineStr">
        <is>
          <t>2026-10-09 12:12:41</t>
        </is>
      </c>
    </row>
    <row r="220" ht="21.95" customHeight="1">
      <c r="A220" s="2" t="n">
        <v>219</v>
      </c>
      <c r="B220" s="31" t="inlineStr">
        <is>
          <t>http://www.somkiet.com</t>
        </is>
      </c>
      <c r="C220" s="2" t="inlineStr">
        <is>
          <t>บุคคล-สังคม</t>
        </is>
      </c>
      <c r="D220" s="10">
        <f>F220/71</f>
        <v/>
      </c>
      <c r="E220" s="11">
        <f>IF(D220&gt;=0.9,"ดีเยี่ยม",IF(D220&gt;=0.7,"ดี",IF(D220&gt;=0.5,"พอใช้","ต้องปรับปรุง")))</f>
        <v/>
      </c>
      <c r="F220" s="6">
        <f>J220+N220+R220+V220</f>
        <v/>
      </c>
      <c r="G220" s="6">
        <f>K220+O220+S220+W220</f>
        <v/>
      </c>
      <c r="H220" s="6">
        <f>L220+P220+T220+X220</f>
        <v/>
      </c>
      <c r="I220" s="7">
        <f>J220/37</f>
        <v/>
      </c>
      <c r="J220" s="6" t="n">
        <v>31</v>
      </c>
      <c r="K220" s="6" t="n">
        <v>5</v>
      </c>
      <c r="L220" s="6" t="n">
        <v>1</v>
      </c>
      <c r="M220" s="7">
        <f>N220/9</f>
        <v/>
      </c>
      <c r="N220" s="6" t="n">
        <v>6</v>
      </c>
      <c r="O220" s="6" t="n">
        <v>3</v>
      </c>
      <c r="P220" s="6" t="n">
        <v>0</v>
      </c>
      <c r="Q220" s="7">
        <f>R220/11</f>
        <v/>
      </c>
      <c r="R220" s="6" t="n">
        <v>5</v>
      </c>
      <c r="S220" s="6" t="n">
        <v>3</v>
      </c>
      <c r="T220" s="6" t="n">
        <v>3</v>
      </c>
      <c r="U220" s="7">
        <f>V220/14</f>
        <v/>
      </c>
      <c r="V220" s="6" t="n">
        <v>2</v>
      </c>
      <c r="W220" s="6" t="n">
        <v>12</v>
      </c>
      <c r="X220" s="6" t="n">
        <v>0</v>
      </c>
      <c r="Y220" s="8" t="n">
        <v>41.82</v>
      </c>
      <c r="Z220" s="9" t="inlineStr">
        <is>
          <t>Success</t>
        </is>
      </c>
      <c r="AA220" s="2" t="inlineStr">
        <is>
          <t>2026-10-08 19:33:49</t>
        </is>
      </c>
    </row>
    <row r="221" ht="21.95" customHeight="1">
      <c r="A221" s="2" t="n">
        <v>220</v>
      </c>
      <c r="B221" s="31" t="inlineStr">
        <is>
          <t>http://www.tddf.or.th</t>
        </is>
      </c>
      <c r="C221" s="2" t="inlineStr">
        <is>
          <t>หน่วยงานราชการ,องค์กร</t>
        </is>
      </c>
      <c r="D221" s="25">
        <f>F221/71</f>
        <v/>
      </c>
      <c r="E221" s="26">
        <f>IF(D221&gt;=0.9,"ดีเยี่ยม",IF(D221&gt;=0.7,"ดี",IF(D221&gt;=0.5,"พอใช้","ต้องปรับปรุง")))</f>
        <v/>
      </c>
      <c r="F221" s="6">
        <f>J221+N221+R221+V221</f>
        <v/>
      </c>
      <c r="G221" s="6">
        <f>K221+O221+S221+W221</f>
        <v/>
      </c>
      <c r="H221" s="6">
        <f>L221+P221+T221+X221</f>
        <v/>
      </c>
      <c r="I221" s="7">
        <f>J221/37</f>
        <v/>
      </c>
      <c r="J221" s="6" t="n">
        <v>0</v>
      </c>
      <c r="K221" s="6" t="n">
        <v>37</v>
      </c>
      <c r="L221" s="6" t="n">
        <v>0</v>
      </c>
      <c r="M221" s="7">
        <f>N221/9</f>
        <v/>
      </c>
      <c r="N221" s="6" t="n">
        <v>0</v>
      </c>
      <c r="O221" s="6" t="n">
        <v>9</v>
      </c>
      <c r="P221" s="6" t="n">
        <v>0</v>
      </c>
      <c r="Q221" s="7">
        <f>R221/11</f>
        <v/>
      </c>
      <c r="R221" s="6" t="n">
        <v>0</v>
      </c>
      <c r="S221" s="6" t="n">
        <v>11</v>
      </c>
      <c r="T221" s="6" t="n">
        <v>0</v>
      </c>
      <c r="U221" s="7">
        <f>V221/14</f>
        <v/>
      </c>
      <c r="V221" s="6" t="n">
        <v>0</v>
      </c>
      <c r="W221" s="6" t="n">
        <v>14</v>
      </c>
      <c r="X221" s="6" t="n">
        <v>0</v>
      </c>
      <c r="Y221" s="8" t="n">
        <v>0.28</v>
      </c>
      <c r="Z221" s="27" t="inlineStr">
        <is>
          <t>Failed (จอขาว / ไม่มีเนื้อหา (Blank Screen))</t>
        </is>
      </c>
      <c r="AA221" s="2" t="inlineStr">
        <is>
          <t>2026-10-21 00:13:37</t>
        </is>
      </c>
    </row>
    <row r="222" ht="21.95" customHeight="1">
      <c r="A222" s="2" t="n">
        <v>221</v>
      </c>
      <c r="B222" s="31" t="inlineStr">
        <is>
          <t>http://www.showwallpaper.com</t>
        </is>
      </c>
      <c r="C222" s="2" t="inlineStr">
        <is>
          <t>บันเทิง</t>
        </is>
      </c>
      <c r="D222" s="10">
        <f>F222/71</f>
        <v/>
      </c>
      <c r="E222" s="11">
        <f>IF(D222&gt;=0.9,"ดีเยี่ยม",IF(D222&gt;=0.7,"ดี",IF(D222&gt;=0.5,"พอใช้","ต้องปรับปรุง")))</f>
        <v/>
      </c>
      <c r="F222" s="6">
        <f>J222+N222+R222+V222</f>
        <v/>
      </c>
      <c r="G222" s="6">
        <f>K222+O222+S222+W222</f>
        <v/>
      </c>
      <c r="H222" s="6">
        <f>L222+P222+T222+X222</f>
        <v/>
      </c>
      <c r="I222" s="7">
        <f>J222/37</f>
        <v/>
      </c>
      <c r="J222" s="6" t="n">
        <v>31</v>
      </c>
      <c r="K222" s="6" t="n">
        <v>5</v>
      </c>
      <c r="L222" s="6" t="n">
        <v>1</v>
      </c>
      <c r="M222" s="7">
        <f>N222/9</f>
        <v/>
      </c>
      <c r="N222" s="6" t="n">
        <v>7</v>
      </c>
      <c r="O222" s="6" t="n">
        <v>2</v>
      </c>
      <c r="P222" s="6" t="n">
        <v>0</v>
      </c>
      <c r="Q222" s="7">
        <f>R222/11</f>
        <v/>
      </c>
      <c r="R222" s="6" t="n">
        <v>1</v>
      </c>
      <c r="S222" s="6" t="n">
        <v>4</v>
      </c>
      <c r="T222" s="6" t="n">
        <v>6</v>
      </c>
      <c r="U222" s="7">
        <f>V222/14</f>
        <v/>
      </c>
      <c r="V222" s="6" t="n">
        <v>2</v>
      </c>
      <c r="W222" s="6" t="n">
        <v>12</v>
      </c>
      <c r="X222" s="6" t="n">
        <v>0</v>
      </c>
      <c r="Y222" s="8" t="n">
        <v>52.66</v>
      </c>
      <c r="Z222" s="9" t="inlineStr">
        <is>
          <t>Success</t>
        </is>
      </c>
      <c r="AA222" s="2" t="inlineStr">
        <is>
          <t>2026-10-08 19:35:24</t>
        </is>
      </c>
    </row>
    <row r="223" ht="21.95" customHeight="1">
      <c r="A223" s="2" t="n">
        <v>222</v>
      </c>
      <c r="B223" s="31" t="inlineStr">
        <is>
          <t>http://www.thaiall.com</t>
        </is>
      </c>
      <c r="C223" s="2" t="inlineStr">
        <is>
          <t>การศึกษา</t>
        </is>
      </c>
      <c r="D223" s="10">
        <f>F223/71</f>
        <v/>
      </c>
      <c r="E223" s="11">
        <f>IF(D223&gt;=0.9,"ดีเยี่ยม",IF(D223&gt;=0.7,"ดี",IF(D223&gt;=0.5,"พอใช้","ต้องปรับปรุง")))</f>
        <v/>
      </c>
      <c r="F223" s="6">
        <f>J223+N223+R223+V223</f>
        <v/>
      </c>
      <c r="G223" s="6">
        <f>K223+O223+S223+W223</f>
        <v/>
      </c>
      <c r="H223" s="6">
        <f>L223+P223+T223+X223</f>
        <v/>
      </c>
      <c r="I223" s="7">
        <f>J223/37</f>
        <v/>
      </c>
      <c r="J223" s="6" t="n">
        <v>34</v>
      </c>
      <c r="K223" s="6" t="n">
        <v>2</v>
      </c>
      <c r="L223" s="6" t="n">
        <v>1</v>
      </c>
      <c r="M223" s="7">
        <f>N223/9</f>
        <v/>
      </c>
      <c r="N223" s="6" t="n">
        <v>8</v>
      </c>
      <c r="O223" s="6" t="n">
        <v>0</v>
      </c>
      <c r="P223" s="6" t="n">
        <v>1</v>
      </c>
      <c r="Q223" s="7">
        <f>R223/11</f>
        <v/>
      </c>
      <c r="R223" s="6" t="n">
        <v>4</v>
      </c>
      <c r="S223" s="6" t="n">
        <v>4</v>
      </c>
      <c r="T223" s="6" t="n">
        <v>3</v>
      </c>
      <c r="U223" s="7">
        <f>V223/14</f>
        <v/>
      </c>
      <c r="V223" s="6" t="n">
        <v>1</v>
      </c>
      <c r="W223" s="6" t="n">
        <v>12</v>
      </c>
      <c r="X223" s="6" t="n">
        <v>1</v>
      </c>
      <c r="Y223" s="8" t="n">
        <v>67.64</v>
      </c>
      <c r="Z223" s="9" t="inlineStr">
        <is>
          <t>Success</t>
        </is>
      </c>
      <c r="AA223" s="2" t="inlineStr">
        <is>
          <t>2026-10-08 19:36:32</t>
        </is>
      </c>
    </row>
    <row r="224" ht="21.95" customHeight="1">
      <c r="A224" s="2" t="n">
        <v>223</v>
      </c>
      <c r="B224" s="31" t="inlineStr">
        <is>
          <t>http://www.winpickup.com</t>
        </is>
      </c>
      <c r="C224" s="2" t="inlineStr">
        <is>
          <t>ธุรกิจ</t>
        </is>
      </c>
      <c r="D224" s="4">
        <f>F224/71</f>
        <v/>
      </c>
      <c r="E224" s="5">
        <f>IF(D224&gt;=0.9,"ดีเยี่ยม",IF(D224&gt;=0.7,"ดี",IF(D224&gt;=0.5,"พอใช้","ต้องปรับปรุง")))</f>
        <v/>
      </c>
      <c r="F224" s="6">
        <f>J224+N224+R224+V224</f>
        <v/>
      </c>
      <c r="G224" s="6">
        <f>K224+O224+S224+W224</f>
        <v/>
      </c>
      <c r="H224" s="6">
        <f>L224+P224+T224+X224</f>
        <v/>
      </c>
      <c r="I224" s="7">
        <f>J224/37</f>
        <v/>
      </c>
      <c r="J224" s="6" t="n">
        <v>36</v>
      </c>
      <c r="K224" s="6" t="n">
        <v>1</v>
      </c>
      <c r="L224" s="6" t="n">
        <v>0</v>
      </c>
      <c r="M224" s="7">
        <f>N224/9</f>
        <v/>
      </c>
      <c r="N224" s="6" t="n">
        <v>6</v>
      </c>
      <c r="O224" s="6" t="n">
        <v>3</v>
      </c>
      <c r="P224" s="6" t="n">
        <v>0</v>
      </c>
      <c r="Q224" s="7">
        <f>R224/11</f>
        <v/>
      </c>
      <c r="R224" s="6" t="n">
        <v>5</v>
      </c>
      <c r="S224" s="6" t="n">
        <v>2</v>
      </c>
      <c r="T224" s="6" t="n">
        <v>4</v>
      </c>
      <c r="U224" s="7">
        <f>V224/14</f>
        <v/>
      </c>
      <c r="V224" s="6" t="n">
        <v>4</v>
      </c>
      <c r="W224" s="6" t="n">
        <v>10</v>
      </c>
      <c r="X224" s="6" t="n">
        <v>0</v>
      </c>
      <c r="Y224" s="8" t="n">
        <v>18.17</v>
      </c>
      <c r="Z224" s="9" t="inlineStr">
        <is>
          <t>Success</t>
        </is>
      </c>
      <c r="AA224" s="2" t="inlineStr">
        <is>
          <t>2026-10-08 19:36:50</t>
        </is>
      </c>
    </row>
    <row r="225" ht="21.95" customHeight="1">
      <c r="A225" s="2" t="n">
        <v>224</v>
      </c>
      <c r="B225" s="31" t="inlineStr">
        <is>
          <t>http://www.sme.go.th</t>
        </is>
      </c>
      <c r="C225" s="2" t="inlineStr">
        <is>
          <t>หน่วยงานราชการ,องค์กร</t>
        </is>
      </c>
      <c r="D225" s="4">
        <f>F225/71</f>
        <v/>
      </c>
      <c r="E225" s="5">
        <f>IF(D225&gt;=0.9,"ดีเยี่ยม",IF(D225&gt;=0.7,"ดี",IF(D225&gt;=0.5,"พอใช้","ต้องปรับปรุง")))</f>
        <v/>
      </c>
      <c r="F225" s="6">
        <f>J225+N225+R225+V225</f>
        <v/>
      </c>
      <c r="G225" s="6">
        <f>K225+O225+S225+W225</f>
        <v/>
      </c>
      <c r="H225" s="6">
        <f>L225+P225+T225+X225</f>
        <v/>
      </c>
      <c r="I225" s="7">
        <f>J225/37</f>
        <v/>
      </c>
      <c r="J225" s="6" t="n">
        <v>35</v>
      </c>
      <c r="K225" s="6" t="n">
        <v>1</v>
      </c>
      <c r="L225" s="6" t="n">
        <v>1</v>
      </c>
      <c r="M225" s="7">
        <f>N225/9</f>
        <v/>
      </c>
      <c r="N225" s="6" t="n">
        <v>7</v>
      </c>
      <c r="O225" s="6" t="n">
        <v>2</v>
      </c>
      <c r="P225" s="6" t="n">
        <v>0</v>
      </c>
      <c r="Q225" s="7">
        <f>R225/11</f>
        <v/>
      </c>
      <c r="R225" s="6" t="n">
        <v>6</v>
      </c>
      <c r="S225" s="6" t="n">
        <v>1</v>
      </c>
      <c r="T225" s="6" t="n">
        <v>4</v>
      </c>
      <c r="U225" s="7">
        <f>V225/14</f>
        <v/>
      </c>
      <c r="V225" s="6" t="n">
        <v>8</v>
      </c>
      <c r="W225" s="6" t="n">
        <v>6</v>
      </c>
      <c r="X225" s="6" t="n">
        <v>0</v>
      </c>
      <c r="Y225" s="8" t="n">
        <v>34.94</v>
      </c>
      <c r="Z225" s="9" t="inlineStr">
        <is>
          <t>Success</t>
        </is>
      </c>
      <c r="AA225" s="2" t="inlineStr">
        <is>
          <t>2026-10-08 19:37:25</t>
        </is>
      </c>
    </row>
    <row r="226" ht="21.95" customHeight="1">
      <c r="A226" s="2" t="n">
        <v>225</v>
      </c>
      <c r="B226" s="31" t="inlineStr">
        <is>
          <t>http://www.qsbg.org</t>
        </is>
      </c>
      <c r="C226" s="2" t="inlineStr">
        <is>
          <t>หน่วยงานราชการ,องค์กร</t>
        </is>
      </c>
      <c r="D226" s="10">
        <f>F226/71</f>
        <v/>
      </c>
      <c r="E226" s="11">
        <f>IF(D226&gt;=0.9,"ดีเยี่ยม",IF(D226&gt;=0.7,"ดี",IF(D226&gt;=0.5,"พอใช้","ต้องปรับปรุง")))</f>
        <v/>
      </c>
      <c r="F226" s="6">
        <f>J226+N226+R226+V226</f>
        <v/>
      </c>
      <c r="G226" s="6">
        <f>K226+O226+S226+W226</f>
        <v/>
      </c>
      <c r="H226" s="6">
        <f>L226+P226+T226+X226</f>
        <v/>
      </c>
      <c r="I226" s="7">
        <f>J226/37</f>
        <v/>
      </c>
      <c r="J226" s="6" t="n">
        <v>32</v>
      </c>
      <c r="K226" s="6" t="n">
        <v>3</v>
      </c>
      <c r="L226" s="6" t="n">
        <v>2</v>
      </c>
      <c r="M226" s="7">
        <f>N226/9</f>
        <v/>
      </c>
      <c r="N226" s="6" t="n">
        <v>6</v>
      </c>
      <c r="O226" s="6" t="n">
        <v>3</v>
      </c>
      <c r="P226" s="6" t="n">
        <v>0</v>
      </c>
      <c r="Q226" s="7">
        <f>R226/11</f>
        <v/>
      </c>
      <c r="R226" s="6" t="n">
        <v>3</v>
      </c>
      <c r="S226" s="6" t="n">
        <v>3</v>
      </c>
      <c r="T226" s="6" t="n">
        <v>5</v>
      </c>
      <c r="U226" s="7">
        <f>V226/14</f>
        <v/>
      </c>
      <c r="V226" s="6" t="n">
        <v>2</v>
      </c>
      <c r="W226" s="6" t="n">
        <v>12</v>
      </c>
      <c r="X226" s="6" t="n">
        <v>0</v>
      </c>
      <c r="Y226" s="8" t="n">
        <v>52.86</v>
      </c>
      <c r="Z226" s="9" t="inlineStr">
        <is>
          <t>Success</t>
        </is>
      </c>
      <c r="AA226" s="2" t="inlineStr">
        <is>
          <t>2026-10-08 19:38:18</t>
        </is>
      </c>
    </row>
    <row r="227" ht="21.95" customHeight="1">
      <c r="A227" s="2" t="n">
        <v>226</v>
      </c>
      <c r="B227" s="31" t="inlineStr">
        <is>
          <t>http://vsm365.com</t>
        </is>
      </c>
      <c r="C227" s="2" t="inlineStr">
        <is>
          <t>คอมพิวเตอร์</t>
        </is>
      </c>
      <c r="D227" s="10">
        <f>F227/71</f>
        <v/>
      </c>
      <c r="E227" s="11">
        <f>IF(D227&gt;=0.9,"ดีเยี่ยม",IF(D227&gt;=0.7,"ดี",IF(D227&gt;=0.5,"พอใช้","ต้องปรับปรุง")))</f>
        <v/>
      </c>
      <c r="F227" s="6">
        <f>J227+N227+R227+V227</f>
        <v/>
      </c>
      <c r="G227" s="6">
        <f>K227+O227+S227+W227</f>
        <v/>
      </c>
      <c r="H227" s="6">
        <f>L227+P227+T227+X227</f>
        <v/>
      </c>
      <c r="I227" s="7">
        <f>J227/37</f>
        <v/>
      </c>
      <c r="J227" s="6" t="n">
        <v>31</v>
      </c>
      <c r="K227" s="6" t="n">
        <v>4</v>
      </c>
      <c r="L227" s="6" t="n">
        <v>2</v>
      </c>
      <c r="M227" s="7">
        <f>N227/9</f>
        <v/>
      </c>
      <c r="N227" s="6" t="n">
        <v>8</v>
      </c>
      <c r="O227" s="6" t="n">
        <v>1</v>
      </c>
      <c r="P227" s="6" t="n">
        <v>0</v>
      </c>
      <c r="Q227" s="7">
        <f>R227/11</f>
        <v/>
      </c>
      <c r="R227" s="6" t="n">
        <v>4</v>
      </c>
      <c r="S227" s="6" t="n">
        <v>3</v>
      </c>
      <c r="T227" s="6" t="n">
        <v>4</v>
      </c>
      <c r="U227" s="7">
        <f>V227/14</f>
        <v/>
      </c>
      <c r="V227" s="6" t="n">
        <v>2</v>
      </c>
      <c r="W227" s="6" t="n">
        <v>12</v>
      </c>
      <c r="X227" s="6" t="n">
        <v>0</v>
      </c>
      <c r="Y227" s="8" t="n">
        <v>17.54</v>
      </c>
      <c r="Z227" s="9" t="inlineStr">
        <is>
          <t>Success</t>
        </is>
      </c>
      <c r="AA227" s="2" t="inlineStr">
        <is>
          <t>2026-10-08 19:38:35</t>
        </is>
      </c>
    </row>
    <row r="228" ht="21.95" customHeight="1">
      <c r="A228" s="2" t="n">
        <v>227</v>
      </c>
      <c r="B228" s="31" t="inlineStr">
        <is>
          <t>http://www.smiletransport.com</t>
        </is>
      </c>
      <c r="C228" s="2" t="inlineStr">
        <is>
          <t>ธุรกิจ</t>
        </is>
      </c>
      <c r="D228" s="10">
        <f>F228/71</f>
        <v/>
      </c>
      <c r="E228" s="11">
        <f>IF(D228&gt;=0.9,"ดีเยี่ยม",IF(D228&gt;=0.7,"ดี",IF(D228&gt;=0.5,"พอใช้","ต้องปรับปรุง")))</f>
        <v/>
      </c>
      <c r="F228" s="6">
        <f>J228+N228+R228+V228</f>
        <v/>
      </c>
      <c r="G228" s="6">
        <f>K228+O228+S228+W228</f>
        <v/>
      </c>
      <c r="H228" s="6">
        <f>L228+P228+T228+X228</f>
        <v/>
      </c>
      <c r="I228" s="7">
        <f>J228/37</f>
        <v/>
      </c>
      <c r="J228" s="6" t="n">
        <v>33</v>
      </c>
      <c r="K228" s="6" t="n">
        <v>4</v>
      </c>
      <c r="L228" s="6" t="n">
        <v>0</v>
      </c>
      <c r="M228" s="7">
        <f>N228/9</f>
        <v/>
      </c>
      <c r="N228" s="6" t="n">
        <v>7</v>
      </c>
      <c r="O228" s="6" t="n">
        <v>2</v>
      </c>
      <c r="P228" s="6" t="n">
        <v>0</v>
      </c>
      <c r="Q228" s="7">
        <f>R228/11</f>
        <v/>
      </c>
      <c r="R228" s="6" t="n">
        <v>3</v>
      </c>
      <c r="S228" s="6" t="n">
        <v>4</v>
      </c>
      <c r="T228" s="6" t="n">
        <v>4</v>
      </c>
      <c r="U228" s="7">
        <f>V228/14</f>
        <v/>
      </c>
      <c r="V228" s="6" t="n">
        <v>2</v>
      </c>
      <c r="W228" s="6" t="n">
        <v>12</v>
      </c>
      <c r="X228" s="6" t="n">
        <v>0</v>
      </c>
      <c r="Y228" s="8" t="n">
        <v>17.61</v>
      </c>
      <c r="Z228" s="9" t="inlineStr">
        <is>
          <t>Success</t>
        </is>
      </c>
      <c r="AA228" s="2" t="inlineStr">
        <is>
          <t>2026-10-08 19:38:53</t>
        </is>
      </c>
    </row>
    <row r="229" ht="21.95" customHeight="1">
      <c r="A229" s="2" t="n">
        <v>228</v>
      </c>
      <c r="B229" s="31" t="inlineStr">
        <is>
          <t>http://www.tourphetchabun.com</t>
        </is>
      </c>
      <c r="C229" s="2" t="inlineStr">
        <is>
          <t>ท่องเที่ยว</t>
        </is>
      </c>
      <c r="D229" s="10">
        <f>F229/71</f>
        <v/>
      </c>
      <c r="E229" s="11">
        <f>IF(D229&gt;=0.9,"ดีเยี่ยม",IF(D229&gt;=0.7,"ดี",IF(D229&gt;=0.5,"พอใช้","ต้องปรับปรุง")))</f>
        <v/>
      </c>
      <c r="F229" s="6">
        <f>J229+N229+R229+V229</f>
        <v/>
      </c>
      <c r="G229" s="6">
        <f>K229+O229+S229+W229</f>
        <v/>
      </c>
      <c r="H229" s="6">
        <f>L229+P229+T229+X229</f>
        <v/>
      </c>
      <c r="I229" s="7">
        <f>J229/37</f>
        <v/>
      </c>
      <c r="J229" s="6" t="n">
        <v>34</v>
      </c>
      <c r="K229" s="6" t="n">
        <v>3</v>
      </c>
      <c r="L229" s="6" t="n">
        <v>0</v>
      </c>
      <c r="M229" s="7">
        <f>N229/9</f>
        <v/>
      </c>
      <c r="N229" s="6" t="n">
        <v>7</v>
      </c>
      <c r="O229" s="6" t="n">
        <v>2</v>
      </c>
      <c r="P229" s="6" t="n">
        <v>0</v>
      </c>
      <c r="Q229" s="7">
        <f>R229/11</f>
        <v/>
      </c>
      <c r="R229" s="6" t="n">
        <v>1</v>
      </c>
      <c r="S229" s="6" t="n">
        <v>4</v>
      </c>
      <c r="T229" s="6" t="n">
        <v>6</v>
      </c>
      <c r="U229" s="7">
        <f>V229/14</f>
        <v/>
      </c>
      <c r="V229" s="6" t="n">
        <v>2</v>
      </c>
      <c r="W229" s="6" t="n">
        <v>12</v>
      </c>
      <c r="X229" s="6" t="n">
        <v>0</v>
      </c>
      <c r="Y229" s="8" t="n">
        <v>96.51000000000001</v>
      </c>
      <c r="Z229" s="9" t="inlineStr">
        <is>
          <t>Success</t>
        </is>
      </c>
      <c r="AA229" s="2" t="inlineStr">
        <is>
          <t>2026-10-08 19:40:29</t>
        </is>
      </c>
    </row>
    <row r="230" ht="21.95" customHeight="1">
      <c r="A230" s="2" t="n">
        <v>229</v>
      </c>
      <c r="B230" s="31" t="inlineStr">
        <is>
          <t>http://www.siamstamp.com</t>
        </is>
      </c>
      <c r="C230" s="2" t="inlineStr">
        <is>
          <t>บุคคล-สังคม</t>
        </is>
      </c>
      <c r="D230" s="10">
        <f>F230/71</f>
        <v/>
      </c>
      <c r="E230" s="11">
        <f>IF(D230&gt;=0.9,"ดีเยี่ยม",IF(D230&gt;=0.7,"ดี",IF(D230&gt;=0.5,"พอใช้","ต้องปรับปรุง")))</f>
        <v/>
      </c>
      <c r="F230" s="6">
        <f>J230+N230+R230+V230</f>
        <v/>
      </c>
      <c r="G230" s="6">
        <f>K230+O230+S230+W230</f>
        <v/>
      </c>
      <c r="H230" s="6">
        <f>L230+P230+T230+X230</f>
        <v/>
      </c>
      <c r="I230" s="7">
        <f>J230/37</f>
        <v/>
      </c>
      <c r="J230" s="6" t="n">
        <v>35</v>
      </c>
      <c r="K230" s="6" t="n">
        <v>1</v>
      </c>
      <c r="L230" s="6" t="n">
        <v>1</v>
      </c>
      <c r="M230" s="7">
        <f>N230/9</f>
        <v/>
      </c>
      <c r="N230" s="6" t="n">
        <v>8</v>
      </c>
      <c r="O230" s="6" t="n">
        <v>1</v>
      </c>
      <c r="P230" s="6" t="n">
        <v>0</v>
      </c>
      <c r="Q230" s="7">
        <f>R230/11</f>
        <v/>
      </c>
      <c r="R230" s="6" t="n">
        <v>1</v>
      </c>
      <c r="S230" s="6" t="n">
        <v>3</v>
      </c>
      <c r="T230" s="6" t="n">
        <v>7</v>
      </c>
      <c r="U230" s="7">
        <f>V230/14</f>
        <v/>
      </c>
      <c r="V230" s="6" t="n">
        <v>2</v>
      </c>
      <c r="W230" s="6" t="n">
        <v>12</v>
      </c>
      <c r="X230" s="6" t="n">
        <v>0</v>
      </c>
      <c r="Y230" s="8" t="n">
        <v>69.31999999999999</v>
      </c>
      <c r="Z230" s="9" t="inlineStr">
        <is>
          <t>Success</t>
        </is>
      </c>
      <c r="AA230" s="2" t="inlineStr">
        <is>
          <t>2026-10-08 19:41:39</t>
        </is>
      </c>
    </row>
    <row r="231" ht="21.95" customHeight="1">
      <c r="A231" s="2" t="n">
        <v>230</v>
      </c>
      <c r="B231" s="31" t="inlineStr">
        <is>
          <t>http://www.carvariety.com</t>
        </is>
      </c>
      <c r="C231" s="2" t="inlineStr">
        <is>
          <t>ยานยนต์</t>
        </is>
      </c>
      <c r="D231" s="10">
        <f>F231/71</f>
        <v/>
      </c>
      <c r="E231" s="11">
        <f>IF(D231&gt;=0.9,"ดีเยี่ยม",IF(D231&gt;=0.7,"ดี",IF(D231&gt;=0.5,"พอใช้","ต้องปรับปรุง")))</f>
        <v/>
      </c>
      <c r="F231" s="6">
        <f>J231+N231+R231+V231</f>
        <v/>
      </c>
      <c r="G231" s="6">
        <f>K231+O231+S231+W231</f>
        <v/>
      </c>
      <c r="H231" s="6">
        <f>L231+P231+T231+X231</f>
        <v/>
      </c>
      <c r="I231" s="7">
        <f>J231/37</f>
        <v/>
      </c>
      <c r="J231" s="6" t="n">
        <v>35</v>
      </c>
      <c r="K231" s="6" t="n">
        <v>2</v>
      </c>
      <c r="L231" s="6" t="n">
        <v>0</v>
      </c>
      <c r="M231" s="7">
        <f>N231/9</f>
        <v/>
      </c>
      <c r="N231" s="6" t="n">
        <v>7</v>
      </c>
      <c r="O231" s="6" t="n">
        <v>2</v>
      </c>
      <c r="P231" s="6" t="n">
        <v>0</v>
      </c>
      <c r="Q231" s="7">
        <f>R231/11</f>
        <v/>
      </c>
      <c r="R231" s="6" t="n">
        <v>3</v>
      </c>
      <c r="S231" s="6" t="n">
        <v>3</v>
      </c>
      <c r="T231" s="6" t="n">
        <v>5</v>
      </c>
      <c r="U231" s="7">
        <f>V231/14</f>
        <v/>
      </c>
      <c r="V231" s="6" t="n">
        <v>2</v>
      </c>
      <c r="W231" s="6" t="n">
        <v>12</v>
      </c>
      <c r="X231" s="6" t="n">
        <v>0</v>
      </c>
      <c r="Y231" s="8" t="n">
        <v>49.66</v>
      </c>
      <c r="Z231" s="9" t="inlineStr">
        <is>
          <t>Success</t>
        </is>
      </c>
      <c r="AA231" s="2" t="inlineStr">
        <is>
          <t>2026-10-08 19:42:28</t>
        </is>
      </c>
    </row>
    <row r="232" ht="21.95" customHeight="1">
      <c r="A232" s="2" t="n">
        <v>231</v>
      </c>
      <c r="B232" s="31" t="inlineStr">
        <is>
          <t>http://appleforward.com</t>
        </is>
      </c>
      <c r="C232" s="2" t="inlineStr">
        <is>
          <t>มือถือ-พีดีเอ</t>
        </is>
      </c>
      <c r="D232" s="10">
        <f>F232/71</f>
        <v/>
      </c>
      <c r="E232" s="11">
        <f>IF(D232&gt;=0.9,"ดีเยี่ยม",IF(D232&gt;=0.7,"ดี",IF(D232&gt;=0.5,"พอใช้","ต้องปรับปรุง")))</f>
        <v/>
      </c>
      <c r="F232" s="6">
        <f>J232+N232+R232+V232</f>
        <v/>
      </c>
      <c r="G232" s="6">
        <f>K232+O232+S232+W232</f>
        <v/>
      </c>
      <c r="H232" s="6">
        <f>L232+P232+T232+X232</f>
        <v/>
      </c>
      <c r="I232" s="7">
        <f>J232/37</f>
        <v/>
      </c>
      <c r="J232" s="6" t="n">
        <v>31</v>
      </c>
      <c r="K232" s="6" t="n">
        <v>6</v>
      </c>
      <c r="L232" s="6" t="n">
        <v>0</v>
      </c>
      <c r="M232" s="7">
        <f>N232/9</f>
        <v/>
      </c>
      <c r="N232" s="6" t="n">
        <v>6</v>
      </c>
      <c r="O232" s="6" t="n">
        <v>3</v>
      </c>
      <c r="P232" s="6" t="n">
        <v>0</v>
      </c>
      <c r="Q232" s="7">
        <f>R232/11</f>
        <v/>
      </c>
      <c r="R232" s="6" t="n">
        <v>3</v>
      </c>
      <c r="S232" s="6" t="n">
        <v>3</v>
      </c>
      <c r="T232" s="6" t="n">
        <v>5</v>
      </c>
      <c r="U232" s="7">
        <f>V232/14</f>
        <v/>
      </c>
      <c r="V232" s="6" t="n">
        <v>3</v>
      </c>
      <c r="W232" s="6" t="n">
        <v>11</v>
      </c>
      <c r="X232" s="6" t="n">
        <v>0</v>
      </c>
      <c r="Y232" s="8" t="n">
        <v>37.24</v>
      </c>
      <c r="Z232" s="9" t="inlineStr">
        <is>
          <t>Success</t>
        </is>
      </c>
      <c r="AA232" s="2" t="inlineStr">
        <is>
          <t>2026-10-08 19:43:06</t>
        </is>
      </c>
    </row>
    <row r="233" ht="21.95" customHeight="1">
      <c r="A233" s="2" t="n">
        <v>232</v>
      </c>
      <c r="B233" s="31" t="inlineStr">
        <is>
          <t>http://www.stockwave.in.th</t>
        </is>
      </c>
      <c r="C233" s="2" t="inlineStr">
        <is>
          <t>ธนาคาร-การเงิน</t>
        </is>
      </c>
      <c r="D233" s="25">
        <f>F233/71</f>
        <v/>
      </c>
      <c r="E233" s="26">
        <f>IF(D233&gt;=0.9,"ดีเยี่ยม",IF(D233&gt;=0.7,"ดี",IF(D233&gt;=0.5,"พอใช้","ต้องปรับปรุง")))</f>
        <v/>
      </c>
      <c r="F233" s="6">
        <f>J233+N233+R233+V233</f>
        <v/>
      </c>
      <c r="G233" s="6">
        <f>K233+O233+S233+W233</f>
        <v/>
      </c>
      <c r="H233" s="6">
        <f>L233+P233+T233+X233</f>
        <v/>
      </c>
      <c r="I233" s="7">
        <f>J233/37</f>
        <v/>
      </c>
      <c r="J233" s="6" t="n">
        <v>0</v>
      </c>
      <c r="K233" s="6" t="n">
        <v>37</v>
      </c>
      <c r="L233" s="6" t="n">
        <v>0</v>
      </c>
      <c r="M233" s="7">
        <f>N233/9</f>
        <v/>
      </c>
      <c r="N233" s="6" t="n">
        <v>0</v>
      </c>
      <c r="O233" s="6" t="n">
        <v>9</v>
      </c>
      <c r="P233" s="6" t="n">
        <v>0</v>
      </c>
      <c r="Q233" s="7">
        <f>R233/11</f>
        <v/>
      </c>
      <c r="R233" s="6" t="n">
        <v>0</v>
      </c>
      <c r="S233" s="6" t="n">
        <v>11</v>
      </c>
      <c r="T233" s="6" t="n">
        <v>0</v>
      </c>
      <c r="U233" s="7">
        <f>V233/14</f>
        <v/>
      </c>
      <c r="V233" s="6" t="n">
        <v>0</v>
      </c>
      <c r="W233" s="6" t="n">
        <v>14</v>
      </c>
      <c r="X233" s="6" t="n">
        <v>0</v>
      </c>
      <c r="Y233" s="8" t="n">
        <v>0.5600000000000001</v>
      </c>
      <c r="Z233" s="27" t="inlineStr">
        <is>
          <t>Failed (โดนบล็อก / เข้าถึงไม่ได้ (HTTP 403))</t>
        </is>
      </c>
      <c r="AA233" s="2" t="inlineStr">
        <is>
          <t>2026-10-21 00:13:37</t>
        </is>
      </c>
    </row>
    <row r="234" ht="21.95" customHeight="1">
      <c r="A234" s="2" t="n">
        <v>233</v>
      </c>
      <c r="B234" s="31" t="inlineStr">
        <is>
          <t>http://thaicontractor.com</t>
        </is>
      </c>
      <c r="C234" s="2" t="inlineStr">
        <is>
          <t>อสังหาริมทรัพย์-ก่อสร้าง</t>
        </is>
      </c>
      <c r="D234" s="10">
        <f>F234/71</f>
        <v/>
      </c>
      <c r="E234" s="11">
        <f>IF(D234&gt;=0.9,"ดีเยี่ยม",IF(D234&gt;=0.7,"ดี",IF(D234&gt;=0.5,"พอใช้","ต้องปรับปรุง")))</f>
        <v/>
      </c>
      <c r="F234" s="6">
        <f>J234+N234+R234+V234</f>
        <v/>
      </c>
      <c r="G234" s="6">
        <f>K234+O234+S234+W234</f>
        <v/>
      </c>
      <c r="H234" s="6">
        <f>L234+P234+T234+X234</f>
        <v/>
      </c>
      <c r="I234" s="7">
        <f>J234/37</f>
        <v/>
      </c>
      <c r="J234" s="6" t="n">
        <v>31</v>
      </c>
      <c r="K234" s="6" t="n">
        <v>6</v>
      </c>
      <c r="L234" s="6" t="n">
        <v>0</v>
      </c>
      <c r="M234" s="7">
        <f>N234/9</f>
        <v/>
      </c>
      <c r="N234" s="6" t="n">
        <v>7</v>
      </c>
      <c r="O234" s="6" t="n">
        <v>2</v>
      </c>
      <c r="P234" s="6" t="n">
        <v>0</v>
      </c>
      <c r="Q234" s="7">
        <f>R234/11</f>
        <v/>
      </c>
      <c r="R234" s="6" t="n">
        <v>5</v>
      </c>
      <c r="S234" s="6" t="n">
        <v>2</v>
      </c>
      <c r="T234" s="6" t="n">
        <v>4</v>
      </c>
      <c r="U234" s="7">
        <f>V234/14</f>
        <v/>
      </c>
      <c r="V234" s="6" t="n">
        <v>3</v>
      </c>
      <c r="W234" s="6" t="n">
        <v>11</v>
      </c>
      <c r="X234" s="6" t="n">
        <v>0</v>
      </c>
      <c r="Y234" s="8" t="n">
        <v>26.98</v>
      </c>
      <c r="Z234" s="9" t="inlineStr">
        <is>
          <t>Success</t>
        </is>
      </c>
      <c r="AA234" s="2" t="inlineStr">
        <is>
          <t>2026-10-08 19:44:21</t>
        </is>
      </c>
    </row>
    <row r="235" ht="21.95" customHeight="1">
      <c r="A235" s="2" t="n">
        <v>234</v>
      </c>
      <c r="B235" s="31" t="inlineStr">
        <is>
          <t>http://www.n-content.com</t>
        </is>
      </c>
      <c r="C235" s="2" t="inlineStr">
        <is>
          <t>มือถือ-พีดีเอ</t>
        </is>
      </c>
      <c r="D235" s="10">
        <f>F235/71</f>
        <v/>
      </c>
      <c r="E235" s="11">
        <f>IF(D235&gt;=0.9,"ดีเยี่ยม",IF(D235&gt;=0.7,"ดี",IF(D235&gt;=0.5,"พอใช้","ต้องปรับปรุง")))</f>
        <v/>
      </c>
      <c r="F235" s="6">
        <f>J235+N235+R235+V235</f>
        <v/>
      </c>
      <c r="G235" s="6">
        <f>K235+O235+S235+W235</f>
        <v/>
      </c>
      <c r="H235" s="6">
        <f>L235+P235+T235+X235</f>
        <v/>
      </c>
      <c r="I235" s="7">
        <f>J235/37</f>
        <v/>
      </c>
      <c r="J235" s="6" t="n">
        <v>29</v>
      </c>
      <c r="K235" s="6" t="n">
        <v>8</v>
      </c>
      <c r="L235" s="6" t="n">
        <v>0</v>
      </c>
      <c r="M235" s="7">
        <f>N235/9</f>
        <v/>
      </c>
      <c r="N235" s="6" t="n">
        <v>5</v>
      </c>
      <c r="O235" s="6" t="n">
        <v>4</v>
      </c>
      <c r="P235" s="6" t="n">
        <v>0</v>
      </c>
      <c r="Q235" s="7">
        <f>R235/11</f>
        <v/>
      </c>
      <c r="R235" s="6" t="n">
        <v>2</v>
      </c>
      <c r="S235" s="6" t="n">
        <v>3</v>
      </c>
      <c r="T235" s="6" t="n">
        <v>6</v>
      </c>
      <c r="U235" s="7">
        <f>V235/14</f>
        <v/>
      </c>
      <c r="V235" s="6" t="n">
        <v>2</v>
      </c>
      <c r="W235" s="6" t="n">
        <v>12</v>
      </c>
      <c r="X235" s="6" t="n">
        <v>0</v>
      </c>
      <c r="Y235" s="8" t="n">
        <v>90.56999999999999</v>
      </c>
      <c r="Z235" s="9" t="inlineStr">
        <is>
          <t>Success</t>
        </is>
      </c>
      <c r="AA235" s="2" t="inlineStr">
        <is>
          <t>2026-10-08 19:45:52</t>
        </is>
      </c>
    </row>
    <row r="236" ht="21.95" customHeight="1">
      <c r="A236" s="2" t="n">
        <v>235</v>
      </c>
      <c r="B236" s="31" t="inlineStr">
        <is>
          <t>http://www.siamshop.com</t>
        </is>
      </c>
      <c r="C236" s="2" t="inlineStr">
        <is>
          <t>ช๊อปปิ้ง</t>
        </is>
      </c>
      <c r="D236" s="10">
        <f>F236/71</f>
        <v/>
      </c>
      <c r="E236" s="11">
        <f>IF(D236&gt;=0.9,"ดีเยี่ยม",IF(D236&gt;=0.7,"ดี",IF(D236&gt;=0.5,"พอใช้","ต้องปรับปรุง")))</f>
        <v/>
      </c>
      <c r="F236" s="6">
        <f>J236+N236+R236+V236</f>
        <v/>
      </c>
      <c r="G236" s="6">
        <f>K236+O236+S236+W236</f>
        <v/>
      </c>
      <c r="H236" s="6">
        <f>L236+P236+T236+X236</f>
        <v/>
      </c>
      <c r="I236" s="7">
        <f>J236/37</f>
        <v/>
      </c>
      <c r="J236" s="6" t="n">
        <v>32</v>
      </c>
      <c r="K236" s="6" t="n">
        <v>5</v>
      </c>
      <c r="L236" s="6" t="n">
        <v>0</v>
      </c>
      <c r="M236" s="7">
        <f>N236/9</f>
        <v/>
      </c>
      <c r="N236" s="6" t="n">
        <v>8</v>
      </c>
      <c r="O236" s="6" t="n">
        <v>1</v>
      </c>
      <c r="P236" s="6" t="n">
        <v>0</v>
      </c>
      <c r="Q236" s="7">
        <f>R236/11</f>
        <v/>
      </c>
      <c r="R236" s="6" t="n">
        <v>3</v>
      </c>
      <c r="S236" s="6" t="n">
        <v>4</v>
      </c>
      <c r="T236" s="6" t="n">
        <v>4</v>
      </c>
      <c r="U236" s="7">
        <f>V236/14</f>
        <v/>
      </c>
      <c r="V236" s="6" t="n">
        <v>2</v>
      </c>
      <c r="W236" s="6" t="n">
        <v>12</v>
      </c>
      <c r="X236" s="6" t="n">
        <v>0</v>
      </c>
      <c r="Y236" s="8" t="n">
        <v>22.48</v>
      </c>
      <c r="Z236" s="9" t="inlineStr">
        <is>
          <t>Success</t>
        </is>
      </c>
      <c r="AA236" s="2" t="inlineStr">
        <is>
          <t>2026-10-08 19:46:14</t>
        </is>
      </c>
    </row>
    <row r="237" ht="21.95" customHeight="1">
      <c r="A237" s="2" t="n">
        <v>236</v>
      </c>
      <c r="B237" s="31" t="inlineStr">
        <is>
          <t>http://www.stormclub.com</t>
        </is>
      </c>
      <c r="C237" s="2" t="inlineStr">
        <is>
          <t>ยานยนต์</t>
        </is>
      </c>
      <c r="D237" s="4">
        <f>F237/71</f>
        <v/>
      </c>
      <c r="E237" s="5">
        <f>IF(D237&gt;=0.9,"ดีเยี่ยม",IF(D237&gt;=0.7,"ดี",IF(D237&gt;=0.5,"พอใช้","ต้องปรับปรุง")))</f>
        <v/>
      </c>
      <c r="F237" s="6">
        <f>J237+N237+R237+V237</f>
        <v/>
      </c>
      <c r="G237" s="6">
        <f>K237+O237+S237+W237</f>
        <v/>
      </c>
      <c r="H237" s="6">
        <f>L237+P237+T237+X237</f>
        <v/>
      </c>
      <c r="I237" s="7">
        <f>J237/37</f>
        <v/>
      </c>
      <c r="J237" s="6" t="n">
        <v>31</v>
      </c>
      <c r="K237" s="6" t="n">
        <v>4</v>
      </c>
      <c r="L237" s="6" t="n">
        <v>2</v>
      </c>
      <c r="M237" s="7">
        <f>N237/9</f>
        <v/>
      </c>
      <c r="N237" s="6" t="n">
        <v>7</v>
      </c>
      <c r="O237" s="6" t="n">
        <v>0</v>
      </c>
      <c r="P237" s="6" t="n">
        <v>2</v>
      </c>
      <c r="Q237" s="7">
        <f>R237/11</f>
        <v/>
      </c>
      <c r="R237" s="6" t="n">
        <v>6</v>
      </c>
      <c r="S237" s="6" t="n">
        <v>1</v>
      </c>
      <c r="T237" s="6" t="n">
        <v>4</v>
      </c>
      <c r="U237" s="7">
        <f>V237/14</f>
        <v/>
      </c>
      <c r="V237" s="6" t="n">
        <v>8</v>
      </c>
      <c r="W237" s="6" t="n">
        <v>6</v>
      </c>
      <c r="X237" s="6" t="n">
        <v>0</v>
      </c>
      <c r="Y237" s="8" t="n">
        <v>14.84</v>
      </c>
      <c r="Z237" s="9" t="inlineStr">
        <is>
          <t>Success</t>
        </is>
      </c>
      <c r="AA237" s="2" t="inlineStr">
        <is>
          <t>2026-10-08 19:46:29</t>
        </is>
      </c>
    </row>
    <row r="238" ht="21.95" customHeight="1">
      <c r="A238" s="2" t="n">
        <v>237</v>
      </c>
      <c r="B238" s="31" t="inlineStr">
        <is>
          <t>http://www.mydrmobile.com</t>
        </is>
      </c>
      <c r="C238" s="2" t="inlineStr">
        <is>
          <t>มือถือ-พีดีเอ</t>
        </is>
      </c>
      <c r="D238" s="10">
        <f>F238/71</f>
        <v/>
      </c>
      <c r="E238" s="11">
        <f>IF(D238&gt;=0.9,"ดีเยี่ยม",IF(D238&gt;=0.7,"ดี",IF(D238&gt;=0.5,"พอใช้","ต้องปรับปรุง")))</f>
        <v/>
      </c>
      <c r="F238" s="6">
        <f>J238+N238+R238+V238</f>
        <v/>
      </c>
      <c r="G238" s="6">
        <f>K238+O238+S238+W238</f>
        <v/>
      </c>
      <c r="H238" s="6">
        <f>L238+P238+T238+X238</f>
        <v/>
      </c>
      <c r="I238" s="7">
        <f>J238/37</f>
        <v/>
      </c>
      <c r="J238" s="6" t="n">
        <v>32</v>
      </c>
      <c r="K238" s="6" t="n">
        <v>5</v>
      </c>
      <c r="L238" s="6" t="n">
        <v>0</v>
      </c>
      <c r="M238" s="7">
        <f>N238/9</f>
        <v/>
      </c>
      <c r="N238" s="6" t="n">
        <v>8</v>
      </c>
      <c r="O238" s="6" t="n">
        <v>1</v>
      </c>
      <c r="P238" s="6" t="n">
        <v>0</v>
      </c>
      <c r="Q238" s="7">
        <f>R238/11</f>
        <v/>
      </c>
      <c r="R238" s="6" t="n">
        <v>2</v>
      </c>
      <c r="S238" s="6" t="n">
        <v>3</v>
      </c>
      <c r="T238" s="6" t="n">
        <v>6</v>
      </c>
      <c r="U238" s="7">
        <f>V238/14</f>
        <v/>
      </c>
      <c r="V238" s="6" t="n">
        <v>2</v>
      </c>
      <c r="W238" s="6" t="n">
        <v>12</v>
      </c>
      <c r="X238" s="6" t="n">
        <v>0</v>
      </c>
      <c r="Y238" s="8" t="n">
        <v>29.85</v>
      </c>
      <c r="Z238" s="9" t="inlineStr">
        <is>
          <t>Success</t>
        </is>
      </c>
      <c r="AA238" s="2" t="inlineStr">
        <is>
          <t>2026-10-08 19:46:59</t>
        </is>
      </c>
    </row>
    <row r="239" ht="21.95" customHeight="1">
      <c r="A239" s="2" t="n">
        <v>238</v>
      </c>
      <c r="B239" s="31" t="inlineStr">
        <is>
          <t>http://www.baanruktalay.com</t>
        </is>
      </c>
      <c r="C239" s="2" t="inlineStr">
        <is>
          <t>ท่องเที่ยว</t>
        </is>
      </c>
      <c r="D239" s="4">
        <f>F239/71</f>
        <v/>
      </c>
      <c r="E239" s="5">
        <f>IF(D239&gt;=0.9,"ดีเยี่ยม",IF(D239&gt;=0.7,"ดี",IF(D239&gt;=0.5,"พอใช้","ต้องปรับปรุง")))</f>
        <v/>
      </c>
      <c r="F239" s="6">
        <f>J239+N239+R239+V239</f>
        <v/>
      </c>
      <c r="G239" s="6">
        <f>K239+O239+S239+W239</f>
        <v/>
      </c>
      <c r="H239" s="6">
        <f>L239+P239+T239+X239</f>
        <v/>
      </c>
      <c r="I239" s="7">
        <f>J239/37</f>
        <v/>
      </c>
      <c r="J239" s="6" t="n">
        <v>33</v>
      </c>
      <c r="K239" s="6" t="n">
        <v>4</v>
      </c>
      <c r="L239" s="6" t="n">
        <v>0</v>
      </c>
      <c r="M239" s="7">
        <f>N239/9</f>
        <v/>
      </c>
      <c r="N239" s="6" t="n">
        <v>7</v>
      </c>
      <c r="O239" s="6" t="n">
        <v>1</v>
      </c>
      <c r="P239" s="6" t="n">
        <v>1</v>
      </c>
      <c r="Q239" s="7">
        <f>R239/11</f>
        <v/>
      </c>
      <c r="R239" s="6" t="n">
        <v>5</v>
      </c>
      <c r="S239" s="6" t="n">
        <v>2</v>
      </c>
      <c r="T239" s="6" t="n">
        <v>4</v>
      </c>
      <c r="U239" s="7">
        <f>V239/14</f>
        <v/>
      </c>
      <c r="V239" s="6" t="n">
        <v>6</v>
      </c>
      <c r="W239" s="6" t="n">
        <v>7</v>
      </c>
      <c r="X239" s="6" t="n">
        <v>1</v>
      </c>
      <c r="Y239" s="8" t="n">
        <v>18.35</v>
      </c>
      <c r="Z239" s="9" t="inlineStr">
        <is>
          <t>Success</t>
        </is>
      </c>
      <c r="AA239" s="2" t="inlineStr">
        <is>
          <t>2026-10-08 19:47:17</t>
        </is>
      </c>
    </row>
    <row r="240" ht="21.95" customHeight="1">
      <c r="A240" s="2" t="n">
        <v>239</v>
      </c>
      <c r="B240" s="31" t="inlineStr">
        <is>
          <t>http://www.rid.go.th</t>
        </is>
      </c>
      <c r="C240" s="2" t="inlineStr">
        <is>
          <t>หน่วยงานราชการ,องค์กร</t>
        </is>
      </c>
      <c r="D240" s="4">
        <f>F240/71</f>
        <v/>
      </c>
      <c r="E240" s="5">
        <f>IF(D240&gt;=0.9,"ดีเยี่ยม",IF(D240&gt;=0.7,"ดี",IF(D240&gt;=0.5,"พอใช้","ต้องปรับปรุง")))</f>
        <v/>
      </c>
      <c r="F240" s="6">
        <f>J240+N240+R240+V240</f>
        <v/>
      </c>
      <c r="G240" s="6">
        <f>K240+O240+S240+W240</f>
        <v/>
      </c>
      <c r="H240" s="6">
        <f>L240+P240+T240+X240</f>
        <v/>
      </c>
      <c r="I240" s="7">
        <f>J240/37</f>
        <v/>
      </c>
      <c r="J240" s="6" t="n">
        <v>36</v>
      </c>
      <c r="K240" s="6" t="n">
        <v>1</v>
      </c>
      <c r="L240" s="6" t="n">
        <v>0</v>
      </c>
      <c r="M240" s="7">
        <f>N240/9</f>
        <v/>
      </c>
      <c r="N240" s="6" t="n">
        <v>8</v>
      </c>
      <c r="O240" s="6" t="n">
        <v>1</v>
      </c>
      <c r="P240" s="6" t="n">
        <v>0</v>
      </c>
      <c r="Q240" s="7">
        <f>R240/11</f>
        <v/>
      </c>
      <c r="R240" s="6" t="n">
        <v>5</v>
      </c>
      <c r="S240" s="6" t="n">
        <v>2</v>
      </c>
      <c r="T240" s="6" t="n">
        <v>4</v>
      </c>
      <c r="U240" s="7">
        <f>V240/14</f>
        <v/>
      </c>
      <c r="V240" s="6" t="n">
        <v>6</v>
      </c>
      <c r="W240" s="6" t="n">
        <v>8</v>
      </c>
      <c r="X240" s="6" t="n">
        <v>0</v>
      </c>
      <c r="Y240" s="8" t="n">
        <v>69.42</v>
      </c>
      <c r="Z240" s="9" t="inlineStr">
        <is>
          <t>Success</t>
        </is>
      </c>
      <c r="AA240" s="2" t="inlineStr">
        <is>
          <t>2026-10-09 03:39:50</t>
        </is>
      </c>
    </row>
    <row r="241" ht="21.95" customHeight="1">
      <c r="A241" s="2" t="n">
        <v>240</v>
      </c>
      <c r="B241" s="31" t="inlineStr">
        <is>
          <t>http://www.freethailand.com</t>
        </is>
      </c>
      <c r="C241" s="2" t="inlineStr">
        <is>
          <t>ช๊อปปิ้ง</t>
        </is>
      </c>
      <c r="D241" s="10">
        <f>F241/71</f>
        <v/>
      </c>
      <c r="E241" s="11">
        <f>IF(D241&gt;=0.9,"ดีเยี่ยม",IF(D241&gt;=0.7,"ดี",IF(D241&gt;=0.5,"พอใช้","ต้องปรับปรุง")))</f>
        <v/>
      </c>
      <c r="F241" s="6">
        <f>J241+N241+R241+V241</f>
        <v/>
      </c>
      <c r="G241" s="6">
        <f>K241+O241+S241+W241</f>
        <v/>
      </c>
      <c r="H241" s="6">
        <f>L241+P241+T241+X241</f>
        <v/>
      </c>
      <c r="I241" s="7">
        <f>J241/37</f>
        <v/>
      </c>
      <c r="J241" s="6" t="n">
        <v>31</v>
      </c>
      <c r="K241" s="6" t="n">
        <v>5</v>
      </c>
      <c r="L241" s="6" t="n">
        <v>1</v>
      </c>
      <c r="M241" s="7">
        <f>N241/9</f>
        <v/>
      </c>
      <c r="N241" s="6" t="n">
        <v>9</v>
      </c>
      <c r="O241" s="6" t="n">
        <v>0</v>
      </c>
      <c r="P241" s="6" t="n">
        <v>0</v>
      </c>
      <c r="Q241" s="7">
        <f>R241/11</f>
        <v/>
      </c>
      <c r="R241" s="6" t="n">
        <v>6</v>
      </c>
      <c r="S241" s="6" t="n">
        <v>3</v>
      </c>
      <c r="T241" s="6" t="n">
        <v>2</v>
      </c>
      <c r="U241" s="7">
        <f>V241/14</f>
        <v/>
      </c>
      <c r="V241" s="6" t="n">
        <v>2</v>
      </c>
      <c r="W241" s="6" t="n">
        <v>12</v>
      </c>
      <c r="X241" s="6" t="n">
        <v>0</v>
      </c>
      <c r="Y241" s="8" t="n">
        <v>12.16</v>
      </c>
      <c r="Z241" s="9" t="inlineStr">
        <is>
          <t>Success</t>
        </is>
      </c>
      <c r="AA241" s="2" t="inlineStr">
        <is>
          <t>2026-10-08 19:47:52</t>
        </is>
      </c>
    </row>
    <row r="242" ht="21.95" customHeight="1">
      <c r="A242" s="2" t="n">
        <v>241</v>
      </c>
      <c r="B242" s="31" t="inlineStr">
        <is>
          <t>http://www.queensavang.org</t>
        </is>
      </c>
      <c r="C242" s="2" t="inlineStr">
        <is>
          <t>หน่วยงานราชการ,องค์กร</t>
        </is>
      </c>
      <c r="D242" s="10">
        <f>F242/71</f>
        <v/>
      </c>
      <c r="E242" s="11">
        <f>IF(D242&gt;=0.9,"ดีเยี่ยม",IF(D242&gt;=0.7,"ดี",IF(D242&gt;=0.5,"พอใช้","ต้องปรับปรุง")))</f>
        <v/>
      </c>
      <c r="F242" s="6">
        <f>J242+N242+R242+V242</f>
        <v/>
      </c>
      <c r="G242" s="6">
        <f>K242+O242+S242+W242</f>
        <v/>
      </c>
      <c r="H242" s="6">
        <f>L242+P242+T242+X242</f>
        <v/>
      </c>
      <c r="I242" s="7">
        <f>J242/37</f>
        <v/>
      </c>
      <c r="J242" s="6" t="n">
        <v>34</v>
      </c>
      <c r="K242" s="6" t="n">
        <v>2</v>
      </c>
      <c r="L242" s="6" t="n">
        <v>1</v>
      </c>
      <c r="M242" s="7">
        <f>N242/9</f>
        <v/>
      </c>
      <c r="N242" s="6" t="n">
        <v>6</v>
      </c>
      <c r="O242" s="6" t="n">
        <v>3</v>
      </c>
      <c r="P242" s="6" t="n">
        <v>0</v>
      </c>
      <c r="Q242" s="7">
        <f>R242/11</f>
        <v/>
      </c>
      <c r="R242" s="6" t="n">
        <v>3</v>
      </c>
      <c r="S242" s="6" t="n">
        <v>3</v>
      </c>
      <c r="T242" s="6" t="n">
        <v>5</v>
      </c>
      <c r="U242" s="7">
        <f>V242/14</f>
        <v/>
      </c>
      <c r="V242" s="6" t="n">
        <v>2</v>
      </c>
      <c r="W242" s="6" t="n">
        <v>12</v>
      </c>
      <c r="X242" s="6" t="n">
        <v>0</v>
      </c>
      <c r="Y242" s="8" t="n">
        <v>77.06999999999999</v>
      </c>
      <c r="Z242" s="9" t="inlineStr">
        <is>
          <t>Success</t>
        </is>
      </c>
      <c r="AA242" s="2" t="inlineStr">
        <is>
          <t>2026-10-08 19:49:09</t>
        </is>
      </c>
    </row>
    <row r="243" ht="21.95" customHeight="1">
      <c r="A243" s="2" t="n">
        <v>242</v>
      </c>
      <c r="B243" s="31" t="inlineStr">
        <is>
          <t>http://thaitohken.co.th</t>
        </is>
      </c>
      <c r="C243" s="2" t="inlineStr">
        <is>
          <t>ธุรกิจ</t>
        </is>
      </c>
      <c r="D243" s="10">
        <f>F243/71</f>
        <v/>
      </c>
      <c r="E243" s="11">
        <f>IF(D243&gt;=0.9,"ดีเยี่ยม",IF(D243&gt;=0.7,"ดี",IF(D243&gt;=0.5,"พอใช้","ต้องปรับปรุง")))</f>
        <v/>
      </c>
      <c r="F243" s="6">
        <f>J243+N243+R243+V243</f>
        <v/>
      </c>
      <c r="G243" s="6">
        <f>K243+O243+S243+W243</f>
        <v/>
      </c>
      <c r="H243" s="6">
        <f>L243+P243+T243+X243</f>
        <v/>
      </c>
      <c r="I243" s="7">
        <f>J243/37</f>
        <v/>
      </c>
      <c r="J243" s="6" t="n">
        <v>32</v>
      </c>
      <c r="K243" s="6" t="n">
        <v>3</v>
      </c>
      <c r="L243" s="6" t="n">
        <v>2</v>
      </c>
      <c r="M243" s="7">
        <f>N243/9</f>
        <v/>
      </c>
      <c r="N243" s="6" t="n">
        <v>8</v>
      </c>
      <c r="O243" s="6" t="n">
        <v>1</v>
      </c>
      <c r="P243" s="6" t="n">
        <v>0</v>
      </c>
      <c r="Q243" s="7">
        <f>R243/11</f>
        <v/>
      </c>
      <c r="R243" s="6" t="n">
        <v>4</v>
      </c>
      <c r="S243" s="6" t="n">
        <v>3</v>
      </c>
      <c r="T243" s="6" t="n">
        <v>4</v>
      </c>
      <c r="U243" s="7">
        <f>V243/14</f>
        <v/>
      </c>
      <c r="V243" s="6" t="n">
        <v>2</v>
      </c>
      <c r="W243" s="6" t="n">
        <v>12</v>
      </c>
      <c r="X243" s="6" t="n">
        <v>0</v>
      </c>
      <c r="Y243" s="8" t="n">
        <v>30.03</v>
      </c>
      <c r="Z243" s="9" t="inlineStr">
        <is>
          <t>Success</t>
        </is>
      </c>
      <c r="AA243" s="2" t="inlineStr">
        <is>
          <t>2026-10-08 19:49:39</t>
        </is>
      </c>
    </row>
    <row r="244" ht="21.95" customHeight="1">
      <c r="A244" s="2" t="n">
        <v>243</v>
      </c>
      <c r="B244" s="31" t="inlineStr">
        <is>
          <t>http://www.thaimutualfund.com</t>
        </is>
      </c>
      <c r="C244" s="2" t="inlineStr">
        <is>
          <t>ธนาคาร-การเงิน</t>
        </is>
      </c>
      <c r="D244" s="4">
        <f>F244/71</f>
        <v/>
      </c>
      <c r="E244" s="5">
        <f>IF(D244&gt;=0.9,"ดีเยี่ยม",IF(D244&gt;=0.7,"ดี",IF(D244&gt;=0.5,"พอใช้","ต้องปรับปรุง")))</f>
        <v/>
      </c>
      <c r="F244" s="6">
        <f>J244+N244+R244+V244</f>
        <v/>
      </c>
      <c r="G244" s="6">
        <f>K244+O244+S244+W244</f>
        <v/>
      </c>
      <c r="H244" s="6">
        <f>L244+P244+T244+X244</f>
        <v/>
      </c>
      <c r="I244" s="7">
        <f>J244/37</f>
        <v/>
      </c>
      <c r="J244" s="6" t="n">
        <v>32</v>
      </c>
      <c r="K244" s="6" t="n">
        <v>4</v>
      </c>
      <c r="L244" s="6" t="n">
        <v>1</v>
      </c>
      <c r="M244" s="7">
        <f>N244/9</f>
        <v/>
      </c>
      <c r="N244" s="6" t="n">
        <v>6</v>
      </c>
      <c r="O244" s="6" t="n">
        <v>2</v>
      </c>
      <c r="P244" s="6" t="n">
        <v>1</v>
      </c>
      <c r="Q244" s="7">
        <f>R244/11</f>
        <v/>
      </c>
      <c r="R244" s="6" t="n">
        <v>9</v>
      </c>
      <c r="S244" s="6" t="n">
        <v>1</v>
      </c>
      <c r="T244" s="6" t="n">
        <v>1</v>
      </c>
      <c r="U244" s="7">
        <f>V244/14</f>
        <v/>
      </c>
      <c r="V244" s="6" t="n">
        <v>4</v>
      </c>
      <c r="W244" s="6" t="n">
        <v>9</v>
      </c>
      <c r="X244" s="6" t="n">
        <v>1</v>
      </c>
      <c r="Y244" s="8" t="n">
        <v>16.77</v>
      </c>
      <c r="Z244" s="9" t="inlineStr">
        <is>
          <t>Success</t>
        </is>
      </c>
      <c r="AA244" s="2" t="inlineStr">
        <is>
          <t>2026-10-09 12:13:25</t>
        </is>
      </c>
    </row>
    <row r="245" ht="21.95" customHeight="1">
      <c r="A245" s="2" t="n">
        <v>244</v>
      </c>
      <c r="B245" s="31" t="inlineStr">
        <is>
          <t>http://www.sombunwit.ac.th</t>
        </is>
      </c>
      <c r="C245" s="2" t="inlineStr">
        <is>
          <t>การศึกษา</t>
        </is>
      </c>
      <c r="D245" s="10">
        <f>F245/71</f>
        <v/>
      </c>
      <c r="E245" s="11">
        <f>IF(D245&gt;=0.9,"ดีเยี่ยม",IF(D245&gt;=0.7,"ดี",IF(D245&gt;=0.5,"พอใช้","ต้องปรับปรุง")))</f>
        <v/>
      </c>
      <c r="F245" s="6">
        <f>J245+N245+R245+V245</f>
        <v/>
      </c>
      <c r="G245" s="6">
        <f>K245+O245+S245+W245</f>
        <v/>
      </c>
      <c r="H245" s="6">
        <f>L245+P245+T245+X245</f>
        <v/>
      </c>
      <c r="I245" s="7">
        <f>J245/37</f>
        <v/>
      </c>
      <c r="J245" s="6" t="n">
        <v>34</v>
      </c>
      <c r="K245" s="6" t="n">
        <v>3</v>
      </c>
      <c r="L245" s="6" t="n">
        <v>0</v>
      </c>
      <c r="M245" s="7">
        <f>N245/9</f>
        <v/>
      </c>
      <c r="N245" s="6" t="n">
        <v>8</v>
      </c>
      <c r="O245" s="6" t="n">
        <v>1</v>
      </c>
      <c r="P245" s="6" t="n">
        <v>0</v>
      </c>
      <c r="Q245" s="7">
        <f>R245/11</f>
        <v/>
      </c>
      <c r="R245" s="6" t="n">
        <v>1</v>
      </c>
      <c r="S245" s="6" t="n">
        <v>0</v>
      </c>
      <c r="T245" s="6" t="n">
        <v>10</v>
      </c>
      <c r="U245" s="7">
        <f>V245/14</f>
        <v/>
      </c>
      <c r="V245" s="6" t="n">
        <v>0</v>
      </c>
      <c r="W245" s="6" t="n">
        <v>0</v>
      </c>
      <c r="X245" s="6" t="n">
        <v>14</v>
      </c>
      <c r="Y245" s="8" t="n">
        <v>80.51000000000001</v>
      </c>
      <c r="Z245" s="9" t="inlineStr">
        <is>
          <t>Success</t>
        </is>
      </c>
      <c r="AA245" s="2" t="inlineStr">
        <is>
          <t>2026-10-08 19:51:16</t>
        </is>
      </c>
    </row>
    <row r="246" ht="21.95" customHeight="1">
      <c r="A246" s="2" t="n">
        <v>245</v>
      </c>
      <c r="B246" s="31" t="inlineStr">
        <is>
          <t>http://www.e-abroad.com</t>
        </is>
      </c>
      <c r="C246" s="2" t="inlineStr">
        <is>
          <t>การศึกษา</t>
        </is>
      </c>
      <c r="D246" s="10">
        <f>F246/71</f>
        <v/>
      </c>
      <c r="E246" s="11">
        <f>IF(D246&gt;=0.9,"ดีเยี่ยม",IF(D246&gt;=0.7,"ดี",IF(D246&gt;=0.5,"พอใช้","ต้องปรับปรุง")))</f>
        <v/>
      </c>
      <c r="F246" s="6">
        <f>J246+N246+R246+V246</f>
        <v/>
      </c>
      <c r="G246" s="6">
        <f>K246+O246+S246+W246</f>
        <v/>
      </c>
      <c r="H246" s="6">
        <f>L246+P246+T246+X246</f>
        <v/>
      </c>
      <c r="I246" s="7">
        <f>J246/37</f>
        <v/>
      </c>
      <c r="J246" s="6" t="n">
        <v>32</v>
      </c>
      <c r="K246" s="6" t="n">
        <v>4</v>
      </c>
      <c r="L246" s="6" t="n">
        <v>1</v>
      </c>
      <c r="M246" s="7">
        <f>N246/9</f>
        <v/>
      </c>
      <c r="N246" s="6" t="n">
        <v>7</v>
      </c>
      <c r="O246" s="6" t="n">
        <v>2</v>
      </c>
      <c r="P246" s="6" t="n">
        <v>0</v>
      </c>
      <c r="Q246" s="7">
        <f>R246/11</f>
        <v/>
      </c>
      <c r="R246" s="6" t="n">
        <v>6</v>
      </c>
      <c r="S246" s="6" t="n">
        <v>3</v>
      </c>
      <c r="T246" s="6" t="n">
        <v>2</v>
      </c>
      <c r="U246" s="7">
        <f>V246/14</f>
        <v/>
      </c>
      <c r="V246" s="6" t="n">
        <v>2</v>
      </c>
      <c r="W246" s="6" t="n">
        <v>11</v>
      </c>
      <c r="X246" s="6" t="n">
        <v>1</v>
      </c>
      <c r="Y246" s="8" t="n">
        <v>22.89</v>
      </c>
      <c r="Z246" s="9" t="inlineStr">
        <is>
          <t>Success</t>
        </is>
      </c>
      <c r="AA246" s="2" t="inlineStr">
        <is>
          <t>2026-10-08 19:51:39</t>
        </is>
      </c>
    </row>
    <row r="247" ht="21.95" customHeight="1">
      <c r="A247" s="2" t="n">
        <v>246</v>
      </c>
      <c r="B247" s="31" t="inlineStr">
        <is>
          <t>http://www.qsbg.or.th</t>
        </is>
      </c>
      <c r="C247" s="2" t="inlineStr">
        <is>
          <t>หน่วยงานราชการ,องค์กร</t>
        </is>
      </c>
      <c r="D247" s="25">
        <f>F247/71</f>
        <v/>
      </c>
      <c r="E247" s="26">
        <f>IF(D247&gt;=0.9,"ดีเยี่ยม",IF(D247&gt;=0.7,"ดี",IF(D247&gt;=0.5,"พอใช้","ต้องปรับปรุง")))</f>
        <v/>
      </c>
      <c r="F247" s="6">
        <f>J247+N247+R247+V247</f>
        <v/>
      </c>
      <c r="G247" s="6">
        <f>K247+O247+S247+W247</f>
        <v/>
      </c>
      <c r="H247" s="6">
        <f>L247+P247+T247+X247</f>
        <v/>
      </c>
      <c r="I247" s="7">
        <f>J247/37</f>
        <v/>
      </c>
      <c r="J247" s="6" t="n">
        <v>0</v>
      </c>
      <c r="K247" s="6" t="n">
        <v>37</v>
      </c>
      <c r="L247" s="6" t="n">
        <v>0</v>
      </c>
      <c r="M247" s="7">
        <f>N247/9</f>
        <v/>
      </c>
      <c r="N247" s="6" t="n">
        <v>0</v>
      </c>
      <c r="O247" s="6" t="n">
        <v>9</v>
      </c>
      <c r="P247" s="6" t="n">
        <v>0</v>
      </c>
      <c r="Q247" s="7">
        <f>R247/11</f>
        <v/>
      </c>
      <c r="R247" s="6" t="n">
        <v>0</v>
      </c>
      <c r="S247" s="6" t="n">
        <v>11</v>
      </c>
      <c r="T247" s="6" t="n">
        <v>0</v>
      </c>
      <c r="U247" s="7">
        <f>V247/14</f>
        <v/>
      </c>
      <c r="V247" s="6" t="n">
        <v>0</v>
      </c>
      <c r="W247" s="6" t="n">
        <v>14</v>
      </c>
      <c r="X247" s="6" t="n">
        <v>0</v>
      </c>
      <c r="Y247" s="8" t="n">
        <v>0.11</v>
      </c>
      <c r="Z247" s="27" t="inlineStr">
        <is>
          <t>Failed (DNS Error (หาเว็บไม่เจอ))</t>
        </is>
      </c>
      <c r="AA247" s="2" t="inlineStr">
        <is>
          <t>2026-10-21 00:13:37</t>
        </is>
      </c>
    </row>
    <row r="248" ht="21.95" customHeight="1">
      <c r="A248" s="2" t="n">
        <v>247</v>
      </c>
      <c r="B248" s="31" t="inlineStr">
        <is>
          <t>http://stonemetalfire.com</t>
        </is>
      </c>
      <c r="C248" s="2" t="inlineStr">
        <is>
          <t>บันเทิง</t>
        </is>
      </c>
      <c r="D248" s="10">
        <f>F248/71</f>
        <v/>
      </c>
      <c r="E248" s="11">
        <f>IF(D248&gt;=0.9,"ดีเยี่ยม",IF(D248&gt;=0.7,"ดี",IF(D248&gt;=0.5,"พอใช้","ต้องปรับปรุง")))</f>
        <v/>
      </c>
      <c r="F248" s="6">
        <f>J248+N248+R248+V248</f>
        <v/>
      </c>
      <c r="G248" s="6">
        <f>K248+O248+S248+W248</f>
        <v/>
      </c>
      <c r="H248" s="6">
        <f>L248+P248+T248+X248</f>
        <v/>
      </c>
      <c r="I248" s="7">
        <f>J248/37</f>
        <v/>
      </c>
      <c r="J248" s="6" t="n">
        <v>31</v>
      </c>
      <c r="K248" s="6" t="n">
        <v>5</v>
      </c>
      <c r="L248" s="6" t="n">
        <v>1</v>
      </c>
      <c r="M248" s="7">
        <f>N248/9</f>
        <v/>
      </c>
      <c r="N248" s="6" t="n">
        <v>6</v>
      </c>
      <c r="O248" s="6" t="n">
        <v>3</v>
      </c>
      <c r="P248" s="6" t="n">
        <v>0</v>
      </c>
      <c r="Q248" s="7">
        <f>R248/11</f>
        <v/>
      </c>
      <c r="R248" s="6" t="n">
        <v>2</v>
      </c>
      <c r="S248" s="6" t="n">
        <v>4</v>
      </c>
      <c r="T248" s="6" t="n">
        <v>5</v>
      </c>
      <c r="U248" s="7">
        <f>V248/14</f>
        <v/>
      </c>
      <c r="V248" s="6" t="n">
        <v>2</v>
      </c>
      <c r="W248" s="6" t="n">
        <v>12</v>
      </c>
      <c r="X248" s="6" t="n">
        <v>0</v>
      </c>
      <c r="Y248" s="8" t="n">
        <v>64.98</v>
      </c>
      <c r="Z248" s="9" t="inlineStr">
        <is>
          <t>Success</t>
        </is>
      </c>
      <c r="AA248" s="2" t="inlineStr">
        <is>
          <t>2026-10-08 19:53:20</t>
        </is>
      </c>
    </row>
    <row r="249" ht="21.95" customHeight="1">
      <c r="A249" s="2" t="n">
        <v>248</v>
      </c>
      <c r="B249" s="31" t="inlineStr">
        <is>
          <t>http://www.thaiabc.com</t>
        </is>
      </c>
      <c r="C249" s="2" t="inlineStr">
        <is>
          <t>การศึกษา</t>
        </is>
      </c>
      <c r="D249" s="10">
        <f>F249/71</f>
        <v/>
      </c>
      <c r="E249" s="11">
        <f>IF(D249&gt;=0.9,"ดีเยี่ยม",IF(D249&gt;=0.7,"ดี",IF(D249&gt;=0.5,"พอใช้","ต้องปรับปรุง")))</f>
        <v/>
      </c>
      <c r="F249" s="6">
        <f>J249+N249+R249+V249</f>
        <v/>
      </c>
      <c r="G249" s="6">
        <f>K249+O249+S249+W249</f>
        <v/>
      </c>
      <c r="H249" s="6">
        <f>L249+P249+T249+X249</f>
        <v/>
      </c>
      <c r="I249" s="7">
        <f>J249/37</f>
        <v/>
      </c>
      <c r="J249" s="6" t="n">
        <v>35</v>
      </c>
      <c r="K249" s="6" t="n">
        <v>2</v>
      </c>
      <c r="L249" s="6" t="n">
        <v>0</v>
      </c>
      <c r="M249" s="7">
        <f>N249/9</f>
        <v/>
      </c>
      <c r="N249" s="6" t="n">
        <v>7</v>
      </c>
      <c r="O249" s="6" t="n">
        <v>2</v>
      </c>
      <c r="P249" s="6" t="n">
        <v>0</v>
      </c>
      <c r="Q249" s="7">
        <f>R249/11</f>
        <v/>
      </c>
      <c r="R249" s="6" t="n">
        <v>1</v>
      </c>
      <c r="S249" s="6" t="n">
        <v>3</v>
      </c>
      <c r="T249" s="6" t="n">
        <v>7</v>
      </c>
      <c r="U249" s="7">
        <f>V249/14</f>
        <v/>
      </c>
      <c r="V249" s="6" t="n">
        <v>2</v>
      </c>
      <c r="W249" s="6" t="n">
        <v>12</v>
      </c>
      <c r="X249" s="6" t="n">
        <v>0</v>
      </c>
      <c r="Y249" s="8" t="n">
        <v>74.8</v>
      </c>
      <c r="Z249" s="9" t="inlineStr">
        <is>
          <t>Success</t>
        </is>
      </c>
      <c r="AA249" s="2" t="inlineStr">
        <is>
          <t>2026-10-08 19:54:35</t>
        </is>
      </c>
    </row>
    <row r="250" ht="21.95" customHeight="1">
      <c r="A250" s="2" t="n">
        <v>249</v>
      </c>
      <c r="B250" s="31" t="inlineStr">
        <is>
          <t>http://www.friend.co.th</t>
        </is>
      </c>
      <c r="C250" s="2" t="inlineStr">
        <is>
          <t>ธุรกิจ</t>
        </is>
      </c>
      <c r="D250" s="10">
        <f>F250/71</f>
        <v/>
      </c>
      <c r="E250" s="11">
        <f>IF(D250&gt;=0.9,"ดีเยี่ยม",IF(D250&gt;=0.7,"ดี",IF(D250&gt;=0.5,"พอใช้","ต้องปรับปรุง")))</f>
        <v/>
      </c>
      <c r="F250" s="6">
        <f>J250+N250+R250+V250</f>
        <v/>
      </c>
      <c r="G250" s="6">
        <f>K250+O250+S250+W250</f>
        <v/>
      </c>
      <c r="H250" s="6">
        <f>L250+P250+T250+X250</f>
        <v/>
      </c>
      <c r="I250" s="7">
        <f>J250/37</f>
        <v/>
      </c>
      <c r="J250" s="6" t="n">
        <v>30</v>
      </c>
      <c r="K250" s="6" t="n">
        <v>6</v>
      </c>
      <c r="L250" s="6" t="n">
        <v>1</v>
      </c>
      <c r="M250" s="7">
        <f>N250/9</f>
        <v/>
      </c>
      <c r="N250" s="6" t="n">
        <v>7</v>
      </c>
      <c r="O250" s="6" t="n">
        <v>2</v>
      </c>
      <c r="P250" s="6" t="n">
        <v>0</v>
      </c>
      <c r="Q250" s="7">
        <f>R250/11</f>
        <v/>
      </c>
      <c r="R250" s="6" t="n">
        <v>1</v>
      </c>
      <c r="S250" s="6" t="n">
        <v>4</v>
      </c>
      <c r="T250" s="6" t="n">
        <v>6</v>
      </c>
      <c r="U250" s="7">
        <f>V250/14</f>
        <v/>
      </c>
      <c r="V250" s="6" t="n">
        <v>1</v>
      </c>
      <c r="W250" s="6" t="n">
        <v>12</v>
      </c>
      <c r="X250" s="6" t="n">
        <v>1</v>
      </c>
      <c r="Y250" s="8" t="n">
        <v>45.1</v>
      </c>
      <c r="Z250" s="9" t="inlineStr">
        <is>
          <t>Success</t>
        </is>
      </c>
      <c r="AA250" s="2" t="inlineStr">
        <is>
          <t>2026-10-09 12:14:46</t>
        </is>
      </c>
    </row>
    <row r="251" ht="21.95" customHeight="1">
      <c r="A251" s="2" t="n">
        <v>250</v>
      </c>
      <c r="B251" s="31" t="inlineStr">
        <is>
          <t>http://kanchanapisek.or.th</t>
        </is>
      </c>
      <c r="C251" s="2" t="inlineStr">
        <is>
          <t>หน่วยงานราชการ,องค์กร</t>
        </is>
      </c>
      <c r="D251" s="10">
        <f>F251/71</f>
        <v/>
      </c>
      <c r="E251" s="11">
        <f>IF(D251&gt;=0.9,"ดีเยี่ยม",IF(D251&gt;=0.7,"ดี",IF(D251&gt;=0.5,"พอใช้","ต้องปรับปรุง")))</f>
        <v/>
      </c>
      <c r="F251" s="6">
        <f>J251+N251+R251+V251</f>
        <v/>
      </c>
      <c r="G251" s="6">
        <f>K251+O251+S251+W251</f>
        <v/>
      </c>
      <c r="H251" s="6">
        <f>L251+P251+T251+X251</f>
        <v/>
      </c>
      <c r="I251" s="7">
        <f>J251/37</f>
        <v/>
      </c>
      <c r="J251" s="6" t="n">
        <v>34</v>
      </c>
      <c r="K251" s="6" t="n">
        <v>2</v>
      </c>
      <c r="L251" s="6" t="n">
        <v>1</v>
      </c>
      <c r="M251" s="7">
        <f>N251/9</f>
        <v/>
      </c>
      <c r="N251" s="6" t="n">
        <v>7</v>
      </c>
      <c r="O251" s="6" t="n">
        <v>2</v>
      </c>
      <c r="P251" s="6" t="n">
        <v>0</v>
      </c>
      <c r="Q251" s="7">
        <f>R251/11</f>
        <v/>
      </c>
      <c r="R251" s="6" t="n">
        <v>1</v>
      </c>
      <c r="S251" s="6" t="n">
        <v>3</v>
      </c>
      <c r="T251" s="6" t="n">
        <v>7</v>
      </c>
      <c r="U251" s="7">
        <f>V251/14</f>
        <v/>
      </c>
      <c r="V251" s="6" t="n">
        <v>2</v>
      </c>
      <c r="W251" s="6" t="n">
        <v>12</v>
      </c>
      <c r="X251" s="6" t="n">
        <v>0</v>
      </c>
      <c r="Y251" s="8" t="n">
        <v>45.38</v>
      </c>
      <c r="Z251" s="9" t="inlineStr">
        <is>
          <t>Success</t>
        </is>
      </c>
      <c r="AA251" s="2" t="inlineStr">
        <is>
          <t>2026-10-08 19:56:00</t>
        </is>
      </c>
    </row>
    <row r="252" ht="21.95" customHeight="1">
      <c r="A252" s="2" t="n">
        <v>251</v>
      </c>
      <c r="B252" s="31" t="inlineStr">
        <is>
          <t>http://liketabien.com</t>
        </is>
      </c>
      <c r="C252" s="2" t="inlineStr">
        <is>
          <t>ยานยนต์</t>
        </is>
      </c>
      <c r="D252" s="10">
        <f>F252/71</f>
        <v/>
      </c>
      <c r="E252" s="11">
        <f>IF(D252&gt;=0.9,"ดีเยี่ยม",IF(D252&gt;=0.7,"ดี",IF(D252&gt;=0.5,"พอใช้","ต้องปรับปรุง")))</f>
        <v/>
      </c>
      <c r="F252" s="6">
        <f>J252+N252+R252+V252</f>
        <v/>
      </c>
      <c r="G252" s="6">
        <f>K252+O252+S252+W252</f>
        <v/>
      </c>
      <c r="H252" s="6">
        <f>L252+P252+T252+X252</f>
        <v/>
      </c>
      <c r="I252" s="7">
        <f>J252/37</f>
        <v/>
      </c>
      <c r="J252" s="6" t="n">
        <v>33</v>
      </c>
      <c r="K252" s="6" t="n">
        <v>4</v>
      </c>
      <c r="L252" s="6" t="n">
        <v>0</v>
      </c>
      <c r="M252" s="7">
        <f>N252/9</f>
        <v/>
      </c>
      <c r="N252" s="6" t="n">
        <v>7</v>
      </c>
      <c r="O252" s="6" t="n">
        <v>2</v>
      </c>
      <c r="P252" s="6" t="n">
        <v>0</v>
      </c>
      <c r="Q252" s="7">
        <f>R252/11</f>
        <v/>
      </c>
      <c r="R252" s="6" t="n">
        <v>2</v>
      </c>
      <c r="S252" s="6" t="n">
        <v>4</v>
      </c>
      <c r="T252" s="6" t="n">
        <v>5</v>
      </c>
      <c r="U252" s="7">
        <f>V252/14</f>
        <v/>
      </c>
      <c r="V252" s="6" t="n">
        <v>2</v>
      </c>
      <c r="W252" s="6" t="n">
        <v>12</v>
      </c>
      <c r="X252" s="6" t="n">
        <v>0</v>
      </c>
      <c r="Y252" s="8" t="n">
        <v>34.56</v>
      </c>
      <c r="Z252" s="9" t="inlineStr">
        <is>
          <t>Success</t>
        </is>
      </c>
      <c r="AA252" s="2" t="inlineStr">
        <is>
          <t>2026-10-08 19:56:35</t>
        </is>
      </c>
    </row>
    <row r="253" ht="21.95" customHeight="1">
      <c r="A253" s="2" t="n">
        <v>252</v>
      </c>
      <c r="B253" s="31" t="inlineStr">
        <is>
          <t>http://www.thaionepiece.com</t>
        </is>
      </c>
      <c r="C253" s="2" t="inlineStr">
        <is>
          <t>บันเทิง</t>
        </is>
      </c>
      <c r="D253" s="10">
        <f>F253/71</f>
        <v/>
      </c>
      <c r="E253" s="11">
        <f>IF(D253&gt;=0.9,"ดีเยี่ยม",IF(D253&gt;=0.7,"ดี",IF(D253&gt;=0.5,"พอใช้","ต้องปรับปรุง")))</f>
        <v/>
      </c>
      <c r="F253" s="6">
        <f>J253+N253+R253+V253</f>
        <v/>
      </c>
      <c r="G253" s="6">
        <f>K253+O253+S253+W253</f>
        <v/>
      </c>
      <c r="H253" s="6">
        <f>L253+P253+T253+X253</f>
        <v/>
      </c>
      <c r="I253" s="7">
        <f>J253/37</f>
        <v/>
      </c>
      <c r="J253" s="6" t="n">
        <v>33</v>
      </c>
      <c r="K253" s="6" t="n">
        <v>3</v>
      </c>
      <c r="L253" s="6" t="n">
        <v>1</v>
      </c>
      <c r="M253" s="7">
        <f>N253/9</f>
        <v/>
      </c>
      <c r="N253" s="6" t="n">
        <v>6</v>
      </c>
      <c r="O253" s="6" t="n">
        <v>2</v>
      </c>
      <c r="P253" s="6" t="n">
        <v>1</v>
      </c>
      <c r="Q253" s="7">
        <f>R253/11</f>
        <v/>
      </c>
      <c r="R253" s="6" t="n">
        <v>1</v>
      </c>
      <c r="S253" s="6" t="n">
        <v>3</v>
      </c>
      <c r="T253" s="6" t="n">
        <v>7</v>
      </c>
      <c r="U253" s="7">
        <f>V253/14</f>
        <v/>
      </c>
      <c r="V253" s="6" t="n">
        <v>2</v>
      </c>
      <c r="W253" s="6" t="n">
        <v>12</v>
      </c>
      <c r="X253" s="6" t="n">
        <v>0</v>
      </c>
      <c r="Y253" s="8" t="n">
        <v>38.34</v>
      </c>
      <c r="Z253" s="9" t="inlineStr">
        <is>
          <t>Success</t>
        </is>
      </c>
      <c r="AA253" s="2" t="inlineStr">
        <is>
          <t>2026-10-08 19:57:13</t>
        </is>
      </c>
    </row>
    <row r="254" ht="21.95" customHeight="1">
      <c r="A254" s="2" t="n">
        <v>253</v>
      </c>
      <c r="B254" s="31" t="inlineStr">
        <is>
          <t>http://Multi-Smart.com</t>
        </is>
      </c>
      <c r="C254" s="2" t="inlineStr">
        <is>
          <t>ธุรกิจ</t>
        </is>
      </c>
      <c r="D254" s="10">
        <f>F254/71</f>
        <v/>
      </c>
      <c r="E254" s="11">
        <f>IF(D254&gt;=0.9,"ดีเยี่ยม",IF(D254&gt;=0.7,"ดี",IF(D254&gt;=0.5,"พอใช้","ต้องปรับปรุง")))</f>
        <v/>
      </c>
      <c r="F254" s="6">
        <f>J254+N254+R254+V254</f>
        <v/>
      </c>
      <c r="G254" s="6">
        <f>K254+O254+S254+W254</f>
        <v/>
      </c>
      <c r="H254" s="6">
        <f>L254+P254+T254+X254</f>
        <v/>
      </c>
      <c r="I254" s="7">
        <f>J254/37</f>
        <v/>
      </c>
      <c r="J254" s="6" t="n">
        <v>28</v>
      </c>
      <c r="K254" s="6" t="n">
        <v>9</v>
      </c>
      <c r="L254" s="6" t="n">
        <v>0</v>
      </c>
      <c r="M254" s="7">
        <f>N254/9</f>
        <v/>
      </c>
      <c r="N254" s="6" t="n">
        <v>9</v>
      </c>
      <c r="O254" s="6" t="n">
        <v>0</v>
      </c>
      <c r="P254" s="6" t="n">
        <v>0</v>
      </c>
      <c r="Q254" s="7">
        <f>R254/11</f>
        <v/>
      </c>
      <c r="R254" s="6" t="n">
        <v>1</v>
      </c>
      <c r="S254" s="6" t="n">
        <v>3</v>
      </c>
      <c r="T254" s="6" t="n">
        <v>7</v>
      </c>
      <c r="U254" s="7">
        <f>V254/14</f>
        <v/>
      </c>
      <c r="V254" s="6" t="n">
        <v>2</v>
      </c>
      <c r="W254" s="6" t="n">
        <v>12</v>
      </c>
      <c r="X254" s="6" t="n">
        <v>0</v>
      </c>
      <c r="Y254" s="8" t="n">
        <v>42.85</v>
      </c>
      <c r="Z254" s="9" t="inlineStr">
        <is>
          <t>Success</t>
        </is>
      </c>
      <c r="AA254" s="2" t="inlineStr">
        <is>
          <t>2026-10-08 19:57:56</t>
        </is>
      </c>
    </row>
    <row r="255" ht="21.95" customHeight="1">
      <c r="A255" s="2" t="n">
        <v>254</v>
      </c>
      <c r="B255" s="31" t="inlineStr">
        <is>
          <t>http://nstdachannel.tv</t>
        </is>
      </c>
      <c r="C255" s="2" t="inlineStr">
        <is>
          <t>ข่าว-สื่อ</t>
        </is>
      </c>
      <c r="D255" s="10">
        <f>F255/71</f>
        <v/>
      </c>
      <c r="E255" s="11">
        <f>IF(D255&gt;=0.9,"ดีเยี่ยม",IF(D255&gt;=0.7,"ดี",IF(D255&gt;=0.5,"พอใช้","ต้องปรับปรุง")))</f>
        <v/>
      </c>
      <c r="F255" s="6">
        <f>J255+N255+R255+V255</f>
        <v/>
      </c>
      <c r="G255" s="6">
        <f>K255+O255+S255+W255</f>
        <v/>
      </c>
      <c r="H255" s="6">
        <f>L255+P255+T255+X255</f>
        <v/>
      </c>
      <c r="I255" s="7">
        <f>J255/37</f>
        <v/>
      </c>
      <c r="J255" s="6" t="n">
        <v>34</v>
      </c>
      <c r="K255" s="6" t="n">
        <v>3</v>
      </c>
      <c r="L255" s="6" t="n">
        <v>0</v>
      </c>
      <c r="M255" s="7">
        <f>N255/9</f>
        <v/>
      </c>
      <c r="N255" s="6" t="n">
        <v>6</v>
      </c>
      <c r="O255" s="6" t="n">
        <v>3</v>
      </c>
      <c r="P255" s="6" t="n">
        <v>0</v>
      </c>
      <c r="Q255" s="7">
        <f>R255/11</f>
        <v/>
      </c>
      <c r="R255" s="6" t="n">
        <v>0</v>
      </c>
      <c r="S255" s="6" t="n">
        <v>4</v>
      </c>
      <c r="T255" s="6" t="n">
        <v>7</v>
      </c>
      <c r="U255" s="7">
        <f>V255/14</f>
        <v/>
      </c>
      <c r="V255" s="6" t="n">
        <v>1</v>
      </c>
      <c r="W255" s="6" t="n">
        <v>12</v>
      </c>
      <c r="X255" s="6" t="n">
        <v>1</v>
      </c>
      <c r="Y255" s="8" t="n">
        <v>115.15</v>
      </c>
      <c r="Z255" s="9" t="inlineStr">
        <is>
          <t>Success</t>
        </is>
      </c>
      <c r="AA255" s="2" t="inlineStr">
        <is>
          <t>2026-10-08 19:59:51</t>
        </is>
      </c>
    </row>
    <row r="256" ht="21.95" customHeight="1">
      <c r="A256" s="2" t="n">
        <v>255</v>
      </c>
      <c r="B256" s="31" t="inlineStr">
        <is>
          <t>http://www.thaisync.com</t>
        </is>
      </c>
      <c r="C256" s="2" t="inlineStr">
        <is>
          <t>มือถือ-พีดีเอ</t>
        </is>
      </c>
      <c r="D256" s="25">
        <f>F256/71</f>
        <v/>
      </c>
      <c r="E256" s="26">
        <f>IF(D256&gt;=0.9,"ดีเยี่ยม",IF(D256&gt;=0.7,"ดี",IF(D256&gt;=0.5,"พอใช้","ต้องปรับปรุง")))</f>
        <v/>
      </c>
      <c r="F256" s="6">
        <f>J256+N256+R256+V256</f>
        <v/>
      </c>
      <c r="G256" s="6">
        <f>K256+O256+S256+W256</f>
        <v/>
      </c>
      <c r="H256" s="6">
        <f>L256+P256+T256+X256</f>
        <v/>
      </c>
      <c r="I256" s="7">
        <f>J256/37</f>
        <v/>
      </c>
      <c r="J256" s="6" t="n">
        <v>0</v>
      </c>
      <c r="K256" s="6" t="n">
        <v>37</v>
      </c>
      <c r="L256" s="6" t="n">
        <v>0</v>
      </c>
      <c r="M256" s="7">
        <f>N256/9</f>
        <v/>
      </c>
      <c r="N256" s="6" t="n">
        <v>0</v>
      </c>
      <c r="O256" s="6" t="n">
        <v>9</v>
      </c>
      <c r="P256" s="6" t="n">
        <v>0</v>
      </c>
      <c r="Q256" s="7">
        <f>R256/11</f>
        <v/>
      </c>
      <c r="R256" s="6" t="n">
        <v>0</v>
      </c>
      <c r="S256" s="6" t="n">
        <v>11</v>
      </c>
      <c r="T256" s="6" t="n">
        <v>0</v>
      </c>
      <c r="U256" s="7">
        <f>V256/14</f>
        <v/>
      </c>
      <c r="V256" s="6" t="n">
        <v>0</v>
      </c>
      <c r="W256" s="6" t="n">
        <v>14</v>
      </c>
      <c r="X256" s="6" t="n">
        <v>0</v>
      </c>
      <c r="Y256" s="8" t="n">
        <v>0.25</v>
      </c>
      <c r="Z256" s="27" t="inlineStr">
        <is>
          <t>Failed (โดนบล็อก / เข้าถึงไม่ได้ (HTTP 403))</t>
        </is>
      </c>
      <c r="AA256" s="2" t="inlineStr">
        <is>
          <t>2026-10-21 00:13:37</t>
        </is>
      </c>
    </row>
    <row r="257" ht="21.95" customHeight="1">
      <c r="A257" s="2" t="n">
        <v>256</v>
      </c>
      <c r="B257" s="31" t="inlineStr">
        <is>
          <t>http://www.JarungJai.com</t>
        </is>
      </c>
      <c r="C257" s="2" t="inlineStr">
        <is>
          <t>ช๊อปปิ้ง</t>
        </is>
      </c>
      <c r="D257" s="10">
        <f>F257/71</f>
        <v/>
      </c>
      <c r="E257" s="11">
        <f>IF(D257&gt;=0.9,"ดีเยี่ยม",IF(D257&gt;=0.7,"ดี",IF(D257&gt;=0.5,"พอใช้","ต้องปรับปรุง")))</f>
        <v/>
      </c>
      <c r="F257" s="6">
        <f>J257+N257+R257+V257</f>
        <v/>
      </c>
      <c r="G257" s="6">
        <f>K257+O257+S257+W257</f>
        <v/>
      </c>
      <c r="H257" s="6">
        <f>L257+P257+T257+X257</f>
        <v/>
      </c>
      <c r="I257" s="7">
        <f>J257/37</f>
        <v/>
      </c>
      <c r="J257" s="6" t="n">
        <v>35</v>
      </c>
      <c r="K257" s="6" t="n">
        <v>2</v>
      </c>
      <c r="L257" s="6" t="n">
        <v>0</v>
      </c>
      <c r="M257" s="7">
        <f>N257/9</f>
        <v/>
      </c>
      <c r="N257" s="6" t="n">
        <v>6</v>
      </c>
      <c r="O257" s="6" t="n">
        <v>1</v>
      </c>
      <c r="P257" s="6" t="n">
        <v>2</v>
      </c>
      <c r="Q257" s="7">
        <f>R257/11</f>
        <v/>
      </c>
      <c r="R257" s="6" t="n">
        <v>3</v>
      </c>
      <c r="S257" s="6" t="n">
        <v>3</v>
      </c>
      <c r="T257" s="6" t="n">
        <v>5</v>
      </c>
      <c r="U257" s="7">
        <f>V257/14</f>
        <v/>
      </c>
      <c r="V257" s="6" t="n">
        <v>2</v>
      </c>
      <c r="W257" s="6" t="n">
        <v>12</v>
      </c>
      <c r="X257" s="6" t="n">
        <v>0</v>
      </c>
      <c r="Y257" s="8" t="n">
        <v>35.03</v>
      </c>
      <c r="Z257" s="9" t="inlineStr">
        <is>
          <t>Success</t>
        </is>
      </c>
      <c r="AA257" s="2" t="inlineStr">
        <is>
          <t>2026-10-08 20:01:04</t>
        </is>
      </c>
    </row>
    <row r="258" ht="21.95" customHeight="1">
      <c r="A258" s="2" t="n">
        <v>257</v>
      </c>
      <c r="B258" s="31" t="inlineStr">
        <is>
          <t>http://www.fpo.go.th</t>
        </is>
      </c>
      <c r="C258" s="2" t="inlineStr">
        <is>
          <t>หน่วยงานราชการ,องค์กร</t>
        </is>
      </c>
      <c r="D258" s="10">
        <f>F258/71</f>
        <v/>
      </c>
      <c r="E258" s="11">
        <f>IF(D258&gt;=0.9,"ดีเยี่ยม",IF(D258&gt;=0.7,"ดี",IF(D258&gt;=0.5,"พอใช้","ต้องปรับปรุง")))</f>
        <v/>
      </c>
      <c r="F258" s="6">
        <f>J258+N258+R258+V258</f>
        <v/>
      </c>
      <c r="G258" s="6">
        <f>K258+O258+S258+W258</f>
        <v/>
      </c>
      <c r="H258" s="6">
        <f>L258+P258+T258+X258</f>
        <v/>
      </c>
      <c r="I258" s="7">
        <f>J258/37</f>
        <v/>
      </c>
      <c r="J258" s="6" t="n">
        <v>36</v>
      </c>
      <c r="K258" s="6" t="n">
        <v>1</v>
      </c>
      <c r="L258" s="6" t="n">
        <v>0</v>
      </c>
      <c r="M258" s="7">
        <f>N258/9</f>
        <v/>
      </c>
      <c r="N258" s="6" t="n">
        <v>6</v>
      </c>
      <c r="O258" s="6" t="n">
        <v>3</v>
      </c>
      <c r="P258" s="6" t="n">
        <v>0</v>
      </c>
      <c r="Q258" s="7">
        <f>R258/11</f>
        <v/>
      </c>
      <c r="R258" s="6" t="n">
        <v>2</v>
      </c>
      <c r="S258" s="6" t="n">
        <v>4</v>
      </c>
      <c r="T258" s="6" t="n">
        <v>5</v>
      </c>
      <c r="U258" s="7">
        <f>V258/14</f>
        <v/>
      </c>
      <c r="V258" s="6" t="n">
        <v>1</v>
      </c>
      <c r="W258" s="6" t="n">
        <v>13</v>
      </c>
      <c r="X258" s="6" t="n">
        <v>0</v>
      </c>
      <c r="Y258" s="8" t="n">
        <v>34.41</v>
      </c>
      <c r="Z258" s="9" t="inlineStr">
        <is>
          <t>Success</t>
        </is>
      </c>
      <c r="AA258" s="2" t="inlineStr">
        <is>
          <t>2026-10-08 20:01:38</t>
        </is>
      </c>
    </row>
    <row r="259" ht="21.95" customHeight="1">
      <c r="A259" s="2" t="n">
        <v>258</v>
      </c>
      <c r="B259" s="31" t="inlineStr">
        <is>
          <t>http://www.culture.go.th</t>
        </is>
      </c>
      <c r="C259" s="2" t="inlineStr">
        <is>
          <t>หน่วยงานราชการ,องค์กร</t>
        </is>
      </c>
      <c r="D259" s="4">
        <f>F259/71</f>
        <v/>
      </c>
      <c r="E259" s="5">
        <f>IF(D259&gt;=0.9,"ดีเยี่ยม",IF(D259&gt;=0.7,"ดี",IF(D259&gt;=0.5,"พอใช้","ต้องปรับปรุง")))</f>
        <v/>
      </c>
      <c r="F259" s="6">
        <f>J259+N259+R259+V259</f>
        <v/>
      </c>
      <c r="G259" s="6">
        <f>K259+O259+S259+W259</f>
        <v/>
      </c>
      <c r="H259" s="6">
        <f>L259+P259+T259+X259</f>
        <v/>
      </c>
      <c r="I259" s="7">
        <f>J259/37</f>
        <v/>
      </c>
      <c r="J259" s="6" t="n">
        <v>34</v>
      </c>
      <c r="K259" s="6" t="n">
        <v>3</v>
      </c>
      <c r="L259" s="6" t="n">
        <v>0</v>
      </c>
      <c r="M259" s="7">
        <f>N259/9</f>
        <v/>
      </c>
      <c r="N259" s="6" t="n">
        <v>7</v>
      </c>
      <c r="O259" s="6" t="n">
        <v>1</v>
      </c>
      <c r="P259" s="6" t="n">
        <v>1</v>
      </c>
      <c r="Q259" s="7">
        <f>R259/11</f>
        <v/>
      </c>
      <c r="R259" s="6" t="n">
        <v>7</v>
      </c>
      <c r="S259" s="6" t="n">
        <v>2</v>
      </c>
      <c r="T259" s="6" t="n">
        <v>2</v>
      </c>
      <c r="U259" s="7">
        <f>V259/14</f>
        <v/>
      </c>
      <c r="V259" s="6" t="n">
        <v>3</v>
      </c>
      <c r="W259" s="6" t="n">
        <v>11</v>
      </c>
      <c r="X259" s="6" t="n">
        <v>0</v>
      </c>
      <c r="Y259" s="8" t="n">
        <v>36.32</v>
      </c>
      <c r="Z259" s="9" t="inlineStr">
        <is>
          <t>Success</t>
        </is>
      </c>
      <c r="AA259" s="2" t="inlineStr">
        <is>
          <t>2026-10-08 20:02:14</t>
        </is>
      </c>
    </row>
    <row r="260" ht="21.95" customHeight="1">
      <c r="A260" s="2" t="n">
        <v>259</v>
      </c>
      <c r="B260" s="31" t="inlineStr">
        <is>
          <t>http://puppada.com</t>
        </is>
      </c>
      <c r="C260" s="2" t="inlineStr">
        <is>
          <t>บันเทิง</t>
        </is>
      </c>
      <c r="D260" s="10">
        <f>F260/71</f>
        <v/>
      </c>
      <c r="E260" s="11">
        <f>IF(D260&gt;=0.9,"ดีเยี่ยม",IF(D260&gt;=0.7,"ดี",IF(D260&gt;=0.5,"พอใช้","ต้องปรับปรุง")))</f>
        <v/>
      </c>
      <c r="F260" s="6">
        <f>J260+N260+R260+V260</f>
        <v/>
      </c>
      <c r="G260" s="6">
        <f>K260+O260+S260+W260</f>
        <v/>
      </c>
      <c r="H260" s="6">
        <f>L260+P260+T260+X260</f>
        <v/>
      </c>
      <c r="I260" s="7">
        <f>J260/37</f>
        <v/>
      </c>
      <c r="J260" s="6" t="n">
        <v>33</v>
      </c>
      <c r="K260" s="6" t="n">
        <v>4</v>
      </c>
      <c r="L260" s="6" t="n">
        <v>0</v>
      </c>
      <c r="M260" s="7">
        <f>N260/9</f>
        <v/>
      </c>
      <c r="N260" s="6" t="n">
        <v>8</v>
      </c>
      <c r="O260" s="6" t="n">
        <v>1</v>
      </c>
      <c r="P260" s="6" t="n">
        <v>0</v>
      </c>
      <c r="Q260" s="7">
        <f>R260/11</f>
        <v/>
      </c>
      <c r="R260" s="6" t="n">
        <v>3</v>
      </c>
      <c r="S260" s="6" t="n">
        <v>3</v>
      </c>
      <c r="T260" s="6" t="n">
        <v>5</v>
      </c>
      <c r="U260" s="7">
        <f>V260/14</f>
        <v/>
      </c>
      <c r="V260" s="6" t="n">
        <v>2</v>
      </c>
      <c r="W260" s="6" t="n">
        <v>11</v>
      </c>
      <c r="X260" s="6" t="n">
        <v>1</v>
      </c>
      <c r="Y260" s="8" t="n">
        <v>34.68</v>
      </c>
      <c r="Z260" s="9" t="inlineStr">
        <is>
          <t>Success</t>
        </is>
      </c>
      <c r="AA260" s="2" t="inlineStr">
        <is>
          <t>2026-10-08 20:02:49</t>
        </is>
      </c>
    </row>
    <row r="261" ht="21.95" customHeight="1">
      <c r="A261" s="2" t="n">
        <v>260</v>
      </c>
      <c r="B261" s="31" t="inlineStr">
        <is>
          <t>http://www.drboonchai.com</t>
        </is>
      </c>
      <c r="C261" s="2" t="inlineStr">
        <is>
          <t>การศึกษา</t>
        </is>
      </c>
      <c r="D261" s="10">
        <f>F261/71</f>
        <v/>
      </c>
      <c r="E261" s="11">
        <f>IF(D261&gt;=0.9,"ดีเยี่ยม",IF(D261&gt;=0.7,"ดี",IF(D261&gt;=0.5,"พอใช้","ต้องปรับปรุง")))</f>
        <v/>
      </c>
      <c r="F261" s="6">
        <f>J261+N261+R261+V261</f>
        <v/>
      </c>
      <c r="G261" s="6">
        <f>K261+O261+S261+W261</f>
        <v/>
      </c>
      <c r="H261" s="6">
        <f>L261+P261+T261+X261</f>
        <v/>
      </c>
      <c r="I261" s="7">
        <f>J261/37</f>
        <v/>
      </c>
      <c r="J261" s="6" t="n">
        <v>31</v>
      </c>
      <c r="K261" s="6" t="n">
        <v>5</v>
      </c>
      <c r="L261" s="6" t="n">
        <v>1</v>
      </c>
      <c r="M261" s="7">
        <f>N261/9</f>
        <v/>
      </c>
      <c r="N261" s="6" t="n">
        <v>8</v>
      </c>
      <c r="O261" s="6" t="n">
        <v>1</v>
      </c>
      <c r="P261" s="6" t="n">
        <v>0</v>
      </c>
      <c r="Q261" s="7">
        <f>R261/11</f>
        <v/>
      </c>
      <c r="R261" s="6" t="n">
        <v>0</v>
      </c>
      <c r="S261" s="6" t="n">
        <v>4</v>
      </c>
      <c r="T261" s="6" t="n">
        <v>7</v>
      </c>
      <c r="U261" s="7">
        <f>V261/14</f>
        <v/>
      </c>
      <c r="V261" s="6" t="n">
        <v>2</v>
      </c>
      <c r="W261" s="6" t="n">
        <v>12</v>
      </c>
      <c r="X261" s="6" t="n">
        <v>0</v>
      </c>
      <c r="Y261" s="8" t="n">
        <v>40.46</v>
      </c>
      <c r="Z261" s="9" t="inlineStr">
        <is>
          <t>Success</t>
        </is>
      </c>
      <c r="AA261" s="2" t="inlineStr">
        <is>
          <t>2026-10-08 20:03:29</t>
        </is>
      </c>
    </row>
    <row r="262" ht="21.95" customHeight="1">
      <c r="A262" s="2" t="n">
        <v>261</v>
      </c>
      <c r="B262" s="31" t="inlineStr">
        <is>
          <t>http://www.thainame.net</t>
        </is>
      </c>
      <c r="C262" s="2" t="inlineStr">
        <is>
          <t>อินเทอร์เน็ต</t>
        </is>
      </c>
      <c r="D262" s="10">
        <f>F262/71</f>
        <v/>
      </c>
      <c r="E262" s="11">
        <f>IF(D262&gt;=0.9,"ดีเยี่ยม",IF(D262&gt;=0.7,"ดี",IF(D262&gt;=0.5,"พอใช้","ต้องปรับปรุง")))</f>
        <v/>
      </c>
      <c r="F262" s="6">
        <f>J262+N262+R262+V262</f>
        <v/>
      </c>
      <c r="G262" s="6">
        <f>K262+O262+S262+W262</f>
        <v/>
      </c>
      <c r="H262" s="6">
        <f>L262+P262+T262+X262</f>
        <v/>
      </c>
      <c r="I262" s="7">
        <f>J262/37</f>
        <v/>
      </c>
      <c r="J262" s="6" t="n">
        <v>33</v>
      </c>
      <c r="K262" s="6" t="n">
        <v>4</v>
      </c>
      <c r="L262" s="6" t="n">
        <v>0</v>
      </c>
      <c r="M262" s="7">
        <f>N262/9</f>
        <v/>
      </c>
      <c r="N262" s="6" t="n">
        <v>8</v>
      </c>
      <c r="O262" s="6" t="n">
        <v>1</v>
      </c>
      <c r="P262" s="6" t="n">
        <v>0</v>
      </c>
      <c r="Q262" s="7">
        <f>R262/11</f>
        <v/>
      </c>
      <c r="R262" s="6" t="n">
        <v>1</v>
      </c>
      <c r="S262" s="6" t="n">
        <v>3</v>
      </c>
      <c r="T262" s="6" t="n">
        <v>7</v>
      </c>
      <c r="U262" s="7">
        <f>V262/14</f>
        <v/>
      </c>
      <c r="V262" s="6" t="n">
        <v>2</v>
      </c>
      <c r="W262" s="6" t="n">
        <v>11</v>
      </c>
      <c r="X262" s="6" t="n">
        <v>1</v>
      </c>
      <c r="Y262" s="8" t="n">
        <v>64.59</v>
      </c>
      <c r="Z262" s="9" t="inlineStr">
        <is>
          <t>Success</t>
        </is>
      </c>
      <c r="AA262" s="2" t="inlineStr">
        <is>
          <t>2026-10-08 20:04:34</t>
        </is>
      </c>
    </row>
    <row r="263" ht="21.95" customHeight="1">
      <c r="A263" s="2" t="n">
        <v>262</v>
      </c>
      <c r="B263" s="31" t="inlineStr">
        <is>
          <t>http://www.musicatm.com/</t>
        </is>
      </c>
      <c r="C263" s="2" t="inlineStr">
        <is>
          <t>บันเทิง</t>
        </is>
      </c>
      <c r="D263" s="10">
        <f>F263/71</f>
        <v/>
      </c>
      <c r="E263" s="11">
        <f>IF(D263&gt;=0.9,"ดีเยี่ยม",IF(D263&gt;=0.7,"ดี",IF(D263&gt;=0.5,"พอใช้","ต้องปรับปรุง")))</f>
        <v/>
      </c>
      <c r="F263" s="6">
        <f>J263+N263+R263+V263</f>
        <v/>
      </c>
      <c r="G263" s="6">
        <f>K263+O263+S263+W263</f>
        <v/>
      </c>
      <c r="H263" s="6">
        <f>L263+P263+T263+X263</f>
        <v/>
      </c>
      <c r="I263" s="7">
        <f>J263/37</f>
        <v/>
      </c>
      <c r="J263" s="6" t="n">
        <v>35</v>
      </c>
      <c r="K263" s="6" t="n">
        <v>2</v>
      </c>
      <c r="L263" s="6" t="n">
        <v>0</v>
      </c>
      <c r="M263" s="7">
        <f>N263/9</f>
        <v/>
      </c>
      <c r="N263" s="6" t="n">
        <v>7</v>
      </c>
      <c r="O263" s="6" t="n">
        <v>0</v>
      </c>
      <c r="P263" s="6" t="n">
        <v>2</v>
      </c>
      <c r="Q263" s="7">
        <f>R263/11</f>
        <v/>
      </c>
      <c r="R263" s="6" t="n">
        <v>3</v>
      </c>
      <c r="S263" s="6" t="n">
        <v>3</v>
      </c>
      <c r="T263" s="6" t="n">
        <v>5</v>
      </c>
      <c r="U263" s="7">
        <f>V263/14</f>
        <v/>
      </c>
      <c r="V263" s="6" t="n">
        <v>3</v>
      </c>
      <c r="W263" s="6" t="n">
        <v>10</v>
      </c>
      <c r="X263" s="6" t="n">
        <v>1</v>
      </c>
      <c r="Y263" s="8" t="n">
        <v>35.04</v>
      </c>
      <c r="Z263" s="9" t="inlineStr">
        <is>
          <t>Success</t>
        </is>
      </c>
      <c r="AA263" s="2" t="inlineStr">
        <is>
          <t>2026-10-08 20:05:09</t>
        </is>
      </c>
    </row>
    <row r="264" ht="21.95" customHeight="1">
      <c r="A264" s="2" t="n">
        <v>263</v>
      </c>
      <c r="B264" s="31" t="inlineStr">
        <is>
          <t>http://www.gasthai.com</t>
        </is>
      </c>
      <c r="C264" s="2" t="inlineStr">
        <is>
          <t>ยานยนต์</t>
        </is>
      </c>
      <c r="D264" s="10">
        <f>F264/71</f>
        <v/>
      </c>
      <c r="E264" s="11">
        <f>IF(D264&gt;=0.9,"ดีเยี่ยม",IF(D264&gt;=0.7,"ดี",IF(D264&gt;=0.5,"พอใช้","ต้องปรับปรุง")))</f>
        <v/>
      </c>
      <c r="F264" s="6">
        <f>J264+N264+R264+V264</f>
        <v/>
      </c>
      <c r="G264" s="6">
        <f>K264+O264+S264+W264</f>
        <v/>
      </c>
      <c r="H264" s="6">
        <f>L264+P264+T264+X264</f>
        <v/>
      </c>
      <c r="I264" s="7">
        <f>J264/37</f>
        <v/>
      </c>
      <c r="J264" s="6" t="n">
        <v>29</v>
      </c>
      <c r="K264" s="6" t="n">
        <v>8</v>
      </c>
      <c r="L264" s="6" t="n">
        <v>0</v>
      </c>
      <c r="M264" s="7">
        <f>N264/9</f>
        <v/>
      </c>
      <c r="N264" s="6" t="n">
        <v>8</v>
      </c>
      <c r="O264" s="6" t="n">
        <v>1</v>
      </c>
      <c r="P264" s="6" t="n">
        <v>0</v>
      </c>
      <c r="Q264" s="7">
        <f>R264/11</f>
        <v/>
      </c>
      <c r="R264" s="6" t="n">
        <v>0</v>
      </c>
      <c r="S264" s="6" t="n">
        <v>4</v>
      </c>
      <c r="T264" s="6" t="n">
        <v>7</v>
      </c>
      <c r="U264" s="7">
        <f>V264/14</f>
        <v/>
      </c>
      <c r="V264" s="6" t="n">
        <v>1</v>
      </c>
      <c r="W264" s="6" t="n">
        <v>12</v>
      </c>
      <c r="X264" s="6" t="n">
        <v>1</v>
      </c>
      <c r="Y264" s="8" t="n">
        <v>82.17</v>
      </c>
      <c r="Z264" s="9" t="inlineStr">
        <is>
          <t>Success</t>
        </is>
      </c>
      <c r="AA264" s="2" t="inlineStr">
        <is>
          <t>2026-10-08 20:06:31</t>
        </is>
      </c>
    </row>
    <row r="265" ht="21.95" customHeight="1">
      <c r="A265" s="2" t="n">
        <v>264</v>
      </c>
      <c r="B265" s="31" t="inlineStr">
        <is>
          <t>http://www.hd-playground.com</t>
        </is>
      </c>
      <c r="C265" s="2" t="inlineStr">
        <is>
          <t>ยานยนต์</t>
        </is>
      </c>
      <c r="D265" s="10">
        <f>F265/71</f>
        <v/>
      </c>
      <c r="E265" s="11">
        <f>IF(D265&gt;=0.9,"ดีเยี่ยม",IF(D265&gt;=0.7,"ดี",IF(D265&gt;=0.5,"พอใช้","ต้องปรับปรุง")))</f>
        <v/>
      </c>
      <c r="F265" s="6">
        <f>J265+N265+R265+V265</f>
        <v/>
      </c>
      <c r="G265" s="6">
        <f>K265+O265+S265+W265</f>
        <v/>
      </c>
      <c r="H265" s="6">
        <f>L265+P265+T265+X265</f>
        <v/>
      </c>
      <c r="I265" s="7">
        <f>J265/37</f>
        <v/>
      </c>
      <c r="J265" s="6" t="n">
        <v>34</v>
      </c>
      <c r="K265" s="6" t="n">
        <v>2</v>
      </c>
      <c r="L265" s="6" t="n">
        <v>1</v>
      </c>
      <c r="M265" s="7">
        <f>N265/9</f>
        <v/>
      </c>
      <c r="N265" s="6" t="n">
        <v>7</v>
      </c>
      <c r="O265" s="6" t="n">
        <v>1</v>
      </c>
      <c r="P265" s="6" t="n">
        <v>1</v>
      </c>
      <c r="Q265" s="7">
        <f>R265/11</f>
        <v/>
      </c>
      <c r="R265" s="6" t="n">
        <v>4</v>
      </c>
      <c r="S265" s="6" t="n">
        <v>3</v>
      </c>
      <c r="T265" s="6" t="n">
        <v>4</v>
      </c>
      <c r="U265" s="7">
        <f>V265/14</f>
        <v/>
      </c>
      <c r="V265" s="6" t="n">
        <v>2</v>
      </c>
      <c r="W265" s="6" t="n">
        <v>12</v>
      </c>
      <c r="X265" s="6" t="n">
        <v>0</v>
      </c>
      <c r="Y265" s="8" t="n">
        <v>56.88</v>
      </c>
      <c r="Z265" s="9" t="inlineStr">
        <is>
          <t>Success</t>
        </is>
      </c>
      <c r="AA265" s="2" t="inlineStr">
        <is>
          <t>2026-10-08 20:07:28</t>
        </is>
      </c>
    </row>
    <row r="266" ht="21.95" customHeight="1">
      <c r="A266" s="2" t="n">
        <v>265</v>
      </c>
      <c r="B266" s="31" t="inlineStr">
        <is>
          <t>http://www.thaiorc.com</t>
        </is>
      </c>
      <c r="C266" s="2" t="inlineStr">
        <is>
          <t>บันเทิง</t>
        </is>
      </c>
      <c r="D266" s="10">
        <f>F266/71</f>
        <v/>
      </c>
      <c r="E266" s="11">
        <f>IF(D266&gt;=0.9,"ดีเยี่ยม",IF(D266&gt;=0.7,"ดี",IF(D266&gt;=0.5,"พอใช้","ต้องปรับปรุง")))</f>
        <v/>
      </c>
      <c r="F266" s="6">
        <f>J266+N266+R266+V266</f>
        <v/>
      </c>
      <c r="G266" s="6">
        <f>K266+O266+S266+W266</f>
        <v/>
      </c>
      <c r="H266" s="6">
        <f>L266+P266+T266+X266</f>
        <v/>
      </c>
      <c r="I266" s="7">
        <f>J266/37</f>
        <v/>
      </c>
      <c r="J266" s="6" t="n">
        <v>31</v>
      </c>
      <c r="K266" s="6" t="n">
        <v>5</v>
      </c>
      <c r="L266" s="6" t="n">
        <v>1</v>
      </c>
      <c r="M266" s="7">
        <f>N266/9</f>
        <v/>
      </c>
      <c r="N266" s="6" t="n">
        <v>6</v>
      </c>
      <c r="O266" s="6" t="n">
        <v>3</v>
      </c>
      <c r="P266" s="6" t="n">
        <v>0</v>
      </c>
      <c r="Q266" s="7">
        <f>R266/11</f>
        <v/>
      </c>
      <c r="R266" s="6" t="n">
        <v>3</v>
      </c>
      <c r="S266" s="6" t="n">
        <v>4</v>
      </c>
      <c r="T266" s="6" t="n">
        <v>4</v>
      </c>
      <c r="U266" s="7">
        <f>V266/14</f>
        <v/>
      </c>
      <c r="V266" s="6" t="n">
        <v>2</v>
      </c>
      <c r="W266" s="6" t="n">
        <v>12</v>
      </c>
      <c r="X266" s="6" t="n">
        <v>0</v>
      </c>
      <c r="Y266" s="8" t="n">
        <v>23.35</v>
      </c>
      <c r="Z266" s="9" t="inlineStr">
        <is>
          <t>Success</t>
        </is>
      </c>
      <c r="AA266" s="2" t="inlineStr">
        <is>
          <t>2026-10-08 20:07:51</t>
        </is>
      </c>
    </row>
    <row r="267" ht="21.95" customHeight="1">
      <c r="A267" s="2" t="n">
        <v>266</v>
      </c>
      <c r="B267" s="31" t="inlineStr">
        <is>
          <t>http://www.banramthai.com</t>
        </is>
      </c>
      <c r="C267" s="2" t="inlineStr">
        <is>
          <t>ศิลปะ-วัฒนธรรม</t>
        </is>
      </c>
      <c r="D267" s="25">
        <f>F267/71</f>
        <v/>
      </c>
      <c r="E267" s="26">
        <f>IF(D267&gt;=0.9,"ดีเยี่ยม",IF(D267&gt;=0.7,"ดี",IF(D267&gt;=0.5,"พอใช้","ต้องปรับปรุง")))</f>
        <v/>
      </c>
      <c r="F267" s="6">
        <f>J267+N267+R267+V267</f>
        <v/>
      </c>
      <c r="G267" s="6">
        <f>K267+O267+S267+W267</f>
        <v/>
      </c>
      <c r="H267" s="6">
        <f>L267+P267+T267+X267</f>
        <v/>
      </c>
      <c r="I267" s="7">
        <f>J267/37</f>
        <v/>
      </c>
      <c r="J267" s="6" t="n">
        <v>0</v>
      </c>
      <c r="K267" s="6" t="n">
        <v>37</v>
      </c>
      <c r="L267" s="6" t="n">
        <v>0</v>
      </c>
      <c r="M267" s="7">
        <f>N267/9</f>
        <v/>
      </c>
      <c r="N267" s="6" t="n">
        <v>0</v>
      </c>
      <c r="O267" s="6" t="n">
        <v>9</v>
      </c>
      <c r="P267" s="6" t="n">
        <v>0</v>
      </c>
      <c r="Q267" s="7">
        <f>R267/11</f>
        <v/>
      </c>
      <c r="R267" s="6" t="n">
        <v>0</v>
      </c>
      <c r="S267" s="6" t="n">
        <v>11</v>
      </c>
      <c r="T267" s="6" t="n">
        <v>0</v>
      </c>
      <c r="U267" s="7">
        <f>V267/14</f>
        <v/>
      </c>
      <c r="V267" s="6" t="n">
        <v>0</v>
      </c>
      <c r="W267" s="6" t="n">
        <v>14</v>
      </c>
      <c r="X267" s="6" t="n">
        <v>0</v>
      </c>
      <c r="Y267" s="8" t="n">
        <v>0.14</v>
      </c>
      <c r="Z267" s="27" t="inlineStr">
        <is>
          <t>Failed (จอขาว / ไม่มีเนื้อหา (Blank Screen))</t>
        </is>
      </c>
      <c r="AA267" s="2" t="inlineStr">
        <is>
          <t>2026-10-21 00:13:37</t>
        </is>
      </c>
    </row>
    <row r="268" ht="21.95" customHeight="1">
      <c r="A268" s="2" t="n">
        <v>267</v>
      </c>
      <c r="B268" s="31" t="inlineStr">
        <is>
          <t>http://www.nano-machinery.com</t>
        </is>
      </c>
      <c r="C268" s="2" t="inlineStr">
        <is>
          <t>ธุรกิจ</t>
        </is>
      </c>
      <c r="D268" s="10">
        <f>F268/71</f>
        <v/>
      </c>
      <c r="E268" s="11">
        <f>IF(D268&gt;=0.9,"ดีเยี่ยม",IF(D268&gt;=0.7,"ดี",IF(D268&gt;=0.5,"พอใช้","ต้องปรับปรุง")))</f>
        <v/>
      </c>
      <c r="F268" s="6">
        <f>J268+N268+R268+V268</f>
        <v/>
      </c>
      <c r="G268" s="6">
        <f>K268+O268+S268+W268</f>
        <v/>
      </c>
      <c r="H268" s="6">
        <f>L268+P268+T268+X268</f>
        <v/>
      </c>
      <c r="I268" s="7">
        <f>J268/37</f>
        <v/>
      </c>
      <c r="J268" s="6" t="n">
        <v>32</v>
      </c>
      <c r="K268" s="6" t="n">
        <v>4</v>
      </c>
      <c r="L268" s="6" t="n">
        <v>1</v>
      </c>
      <c r="M268" s="7">
        <f>N268/9</f>
        <v/>
      </c>
      <c r="N268" s="6" t="n">
        <v>7</v>
      </c>
      <c r="O268" s="6" t="n">
        <v>2</v>
      </c>
      <c r="P268" s="6" t="n">
        <v>0</v>
      </c>
      <c r="Q268" s="7">
        <f>R268/11</f>
        <v/>
      </c>
      <c r="R268" s="6" t="n">
        <v>2</v>
      </c>
      <c r="S268" s="6" t="n">
        <v>3</v>
      </c>
      <c r="T268" s="6" t="n">
        <v>6</v>
      </c>
      <c r="U268" s="7">
        <f>V268/14</f>
        <v/>
      </c>
      <c r="V268" s="6" t="n">
        <v>2</v>
      </c>
      <c r="W268" s="6" t="n">
        <v>12</v>
      </c>
      <c r="X268" s="6" t="n">
        <v>0</v>
      </c>
      <c r="Y268" s="8" t="n">
        <v>38.4</v>
      </c>
      <c r="Z268" s="9" t="inlineStr">
        <is>
          <t>Success</t>
        </is>
      </c>
      <c r="AA268" s="2" t="inlineStr">
        <is>
          <t>2026-10-09 12:16:27</t>
        </is>
      </c>
    </row>
    <row r="269" ht="21.95" customHeight="1">
      <c r="A269" s="2" t="n">
        <v>268</v>
      </c>
      <c r="B269" s="31" t="inlineStr">
        <is>
          <t>http://www.uncle-chorn.com</t>
        </is>
      </c>
      <c r="C269" s="2" t="inlineStr">
        <is>
          <t>ช๊อปปิ้ง</t>
        </is>
      </c>
      <c r="D269" s="25">
        <f>F269/71</f>
        <v/>
      </c>
      <c r="E269" s="26">
        <f>IF(D269&gt;=0.9,"ดีเยี่ยม",IF(D269&gt;=0.7,"ดี",IF(D269&gt;=0.5,"พอใช้","ต้องปรับปรุง")))</f>
        <v/>
      </c>
      <c r="F269" s="6">
        <f>J269+N269+R269+V269</f>
        <v/>
      </c>
      <c r="G269" s="6">
        <f>K269+O269+S269+W269</f>
        <v/>
      </c>
      <c r="H269" s="6">
        <f>L269+P269+T269+X269</f>
        <v/>
      </c>
      <c r="I269" s="7">
        <f>J269/37</f>
        <v/>
      </c>
      <c r="J269" s="6" t="n">
        <v>0</v>
      </c>
      <c r="K269" s="6" t="n">
        <v>37</v>
      </c>
      <c r="L269" s="6" t="n">
        <v>0</v>
      </c>
      <c r="M269" s="7">
        <f>N269/9</f>
        <v/>
      </c>
      <c r="N269" s="6" t="n">
        <v>0</v>
      </c>
      <c r="O269" s="6" t="n">
        <v>9</v>
      </c>
      <c r="P269" s="6" t="n">
        <v>0</v>
      </c>
      <c r="Q269" s="7">
        <f>R269/11</f>
        <v/>
      </c>
      <c r="R269" s="6" t="n">
        <v>0</v>
      </c>
      <c r="S269" s="6" t="n">
        <v>11</v>
      </c>
      <c r="T269" s="6" t="n">
        <v>0</v>
      </c>
      <c r="U269" s="7">
        <f>V269/14</f>
        <v/>
      </c>
      <c r="V269" s="6" t="n">
        <v>0</v>
      </c>
      <c r="W269" s="6" t="n">
        <v>14</v>
      </c>
      <c r="X269" s="6" t="n">
        <v>0</v>
      </c>
      <c r="Y269" s="8" t="n">
        <v>0.86</v>
      </c>
      <c r="Z269" s="27" t="inlineStr">
        <is>
          <t>Failed (โดนบล็อก / เข้าถึงไม่ได้ (HTTP 403))</t>
        </is>
      </c>
      <c r="AA269" s="2" t="inlineStr">
        <is>
          <t>2026-10-21 00:13:37</t>
        </is>
      </c>
    </row>
    <row r="270" ht="21.95" customHeight="1">
      <c r="A270" s="2" t="n">
        <v>269</v>
      </c>
      <c r="B270" s="31" t="inlineStr">
        <is>
          <t>http://siamhealth.net</t>
        </is>
      </c>
      <c r="C270" s="2" t="inlineStr">
        <is>
          <t>สุขภาพ</t>
        </is>
      </c>
      <c r="D270" s="10">
        <f>F270/71</f>
        <v/>
      </c>
      <c r="E270" s="11">
        <f>IF(D270&gt;=0.9,"ดีเยี่ยม",IF(D270&gt;=0.7,"ดี",IF(D270&gt;=0.5,"พอใช้","ต้องปรับปรุง")))</f>
        <v/>
      </c>
      <c r="F270" s="6">
        <f>J270+N270+R270+V270</f>
        <v/>
      </c>
      <c r="G270" s="6">
        <f>K270+O270+S270+W270</f>
        <v/>
      </c>
      <c r="H270" s="6">
        <f>L270+P270+T270+X270</f>
        <v/>
      </c>
      <c r="I270" s="7">
        <f>J270/37</f>
        <v/>
      </c>
      <c r="J270" s="6" t="n">
        <v>34</v>
      </c>
      <c r="K270" s="6" t="n">
        <v>2</v>
      </c>
      <c r="L270" s="6" t="n">
        <v>1</v>
      </c>
      <c r="M270" s="7">
        <f>N270/9</f>
        <v/>
      </c>
      <c r="N270" s="6" t="n">
        <v>7</v>
      </c>
      <c r="O270" s="6" t="n">
        <v>2</v>
      </c>
      <c r="P270" s="6" t="n">
        <v>0</v>
      </c>
      <c r="Q270" s="7">
        <f>R270/11</f>
        <v/>
      </c>
      <c r="R270" s="6" t="n">
        <v>3</v>
      </c>
      <c r="S270" s="6" t="n">
        <v>3</v>
      </c>
      <c r="T270" s="6" t="n">
        <v>5</v>
      </c>
      <c r="U270" s="7">
        <f>V270/14</f>
        <v/>
      </c>
      <c r="V270" s="6" t="n">
        <v>2</v>
      </c>
      <c r="W270" s="6" t="n">
        <v>11</v>
      </c>
      <c r="X270" s="6" t="n">
        <v>1</v>
      </c>
      <c r="Y270" s="8" t="n">
        <v>39.72</v>
      </c>
      <c r="Z270" s="9" t="inlineStr">
        <is>
          <t>Success</t>
        </is>
      </c>
      <c r="AA270" s="2" t="inlineStr">
        <is>
          <t>2026-10-08 20:10:56</t>
        </is>
      </c>
    </row>
    <row r="271" ht="21.95" customHeight="1">
      <c r="A271" s="2" t="n">
        <v>270</v>
      </c>
      <c r="B271" s="31" t="inlineStr">
        <is>
          <t>http://pantip.com/tech</t>
        </is>
      </c>
      <c r="C271" s="2" t="inlineStr">
        <is>
          <t>คอมพิวเตอร์</t>
        </is>
      </c>
      <c r="D271" s="10">
        <f>F271/71</f>
        <v/>
      </c>
      <c r="E271" s="11">
        <f>IF(D271&gt;=0.9,"ดีเยี่ยม",IF(D271&gt;=0.7,"ดี",IF(D271&gt;=0.5,"พอใช้","ต้องปรับปรุง")))</f>
        <v/>
      </c>
      <c r="F271" s="6">
        <f>J271+N271+R271+V271</f>
        <v/>
      </c>
      <c r="G271" s="6">
        <f>K271+O271+S271+W271</f>
        <v/>
      </c>
      <c r="H271" s="6">
        <f>L271+P271+T271+X271</f>
        <v/>
      </c>
      <c r="I271" s="7">
        <f>J271/37</f>
        <v/>
      </c>
      <c r="J271" s="6" t="n">
        <v>32</v>
      </c>
      <c r="K271" s="6" t="n">
        <v>5</v>
      </c>
      <c r="L271" s="6" t="n">
        <v>0</v>
      </c>
      <c r="M271" s="7">
        <f>N271/9</f>
        <v/>
      </c>
      <c r="N271" s="6" t="n">
        <v>6</v>
      </c>
      <c r="O271" s="6" t="n">
        <v>3</v>
      </c>
      <c r="P271" s="6" t="n">
        <v>0</v>
      </c>
      <c r="Q271" s="7">
        <f>R271/11</f>
        <v/>
      </c>
      <c r="R271" s="6" t="n">
        <v>4</v>
      </c>
      <c r="S271" s="6" t="n">
        <v>2</v>
      </c>
      <c r="T271" s="6" t="n">
        <v>5</v>
      </c>
      <c r="U271" s="7">
        <f>V271/14</f>
        <v/>
      </c>
      <c r="V271" s="6" t="n">
        <v>4</v>
      </c>
      <c r="W271" s="6" t="n">
        <v>10</v>
      </c>
      <c r="X271" s="6" t="n">
        <v>0</v>
      </c>
      <c r="Y271" s="8" t="n">
        <v>38.67</v>
      </c>
      <c r="Z271" s="9" t="inlineStr">
        <is>
          <t>Success</t>
        </is>
      </c>
      <c r="AA271" s="2" t="inlineStr">
        <is>
          <t>2026-10-08 20:11:35</t>
        </is>
      </c>
    </row>
    <row r="272" ht="21.95" customHeight="1">
      <c r="A272" s="2" t="n">
        <v>271</v>
      </c>
      <c r="B272" s="31" t="inlineStr">
        <is>
          <t>http://www.muaythai2000.com</t>
        </is>
      </c>
      <c r="C272" s="2" t="inlineStr">
        <is>
          <t>กีฬา</t>
        </is>
      </c>
      <c r="D272" s="4">
        <f>F272/71</f>
        <v/>
      </c>
      <c r="E272" s="5">
        <f>IF(D272&gt;=0.9,"ดีเยี่ยม",IF(D272&gt;=0.7,"ดี",IF(D272&gt;=0.5,"พอใช้","ต้องปรับปรุง")))</f>
        <v/>
      </c>
      <c r="F272" s="6">
        <f>J272+N272+R272+V272</f>
        <v/>
      </c>
      <c r="G272" s="6">
        <f>K272+O272+S272+W272</f>
        <v/>
      </c>
      <c r="H272" s="6">
        <f>L272+P272+T272+X272</f>
        <v/>
      </c>
      <c r="I272" s="7">
        <f>J272/37</f>
        <v/>
      </c>
      <c r="J272" s="6" t="n">
        <v>34</v>
      </c>
      <c r="K272" s="6" t="n">
        <v>3</v>
      </c>
      <c r="L272" s="6" t="n">
        <v>0</v>
      </c>
      <c r="M272" s="7">
        <f>N272/9</f>
        <v/>
      </c>
      <c r="N272" s="6" t="n">
        <v>8</v>
      </c>
      <c r="O272" s="6" t="n">
        <v>1</v>
      </c>
      <c r="P272" s="6" t="n">
        <v>0</v>
      </c>
      <c r="Q272" s="7">
        <f>R272/11</f>
        <v/>
      </c>
      <c r="R272" s="6" t="n">
        <v>5</v>
      </c>
      <c r="S272" s="6" t="n">
        <v>3</v>
      </c>
      <c r="T272" s="6" t="n">
        <v>3</v>
      </c>
      <c r="U272" s="7">
        <f>V272/14</f>
        <v/>
      </c>
      <c r="V272" s="6" t="n">
        <v>3</v>
      </c>
      <c r="W272" s="6" t="n">
        <v>10</v>
      </c>
      <c r="X272" s="6" t="n">
        <v>1</v>
      </c>
      <c r="Y272" s="8" t="n">
        <v>34.48</v>
      </c>
      <c r="Z272" s="9" t="inlineStr">
        <is>
          <t>Success</t>
        </is>
      </c>
      <c r="AA272" s="2" t="inlineStr">
        <is>
          <t>2026-10-08 20:12:09</t>
        </is>
      </c>
    </row>
    <row r="273" ht="21.95" customHeight="1">
      <c r="A273" s="2" t="n">
        <v>272</v>
      </c>
      <c r="B273" s="31" t="inlineStr">
        <is>
          <t>http://www.k-heuer.com</t>
        </is>
      </c>
      <c r="C273" s="2" t="inlineStr">
        <is>
          <t>ช๊อปปิ้ง</t>
        </is>
      </c>
      <c r="D273" s="10">
        <f>F273/71</f>
        <v/>
      </c>
      <c r="E273" s="11">
        <f>IF(D273&gt;=0.9,"ดีเยี่ยม",IF(D273&gt;=0.7,"ดี",IF(D273&gt;=0.5,"พอใช้","ต้องปรับปรุง")))</f>
        <v/>
      </c>
      <c r="F273" s="6">
        <f>J273+N273+R273+V273</f>
        <v/>
      </c>
      <c r="G273" s="6">
        <f>K273+O273+S273+W273</f>
        <v/>
      </c>
      <c r="H273" s="6">
        <f>L273+P273+T273+X273</f>
        <v/>
      </c>
      <c r="I273" s="7">
        <f>J273/37</f>
        <v/>
      </c>
      <c r="J273" s="6" t="n">
        <v>33</v>
      </c>
      <c r="K273" s="6" t="n">
        <v>3</v>
      </c>
      <c r="L273" s="6" t="n">
        <v>1</v>
      </c>
      <c r="M273" s="7">
        <f>N273/9</f>
        <v/>
      </c>
      <c r="N273" s="6" t="n">
        <v>5</v>
      </c>
      <c r="O273" s="6" t="n">
        <v>2</v>
      </c>
      <c r="P273" s="6" t="n">
        <v>2</v>
      </c>
      <c r="Q273" s="7">
        <f>R273/11</f>
        <v/>
      </c>
      <c r="R273" s="6" t="n">
        <v>2</v>
      </c>
      <c r="S273" s="6" t="n">
        <v>4</v>
      </c>
      <c r="T273" s="6" t="n">
        <v>5</v>
      </c>
      <c r="U273" s="7">
        <f>V273/14</f>
        <v/>
      </c>
      <c r="V273" s="6" t="n">
        <v>2</v>
      </c>
      <c r="W273" s="6" t="n">
        <v>12</v>
      </c>
      <c r="X273" s="6" t="n">
        <v>0</v>
      </c>
      <c r="Y273" s="8" t="n">
        <v>69.77</v>
      </c>
      <c r="Z273" s="9" t="inlineStr">
        <is>
          <t>Success</t>
        </is>
      </c>
      <c r="AA273" s="2" t="inlineStr">
        <is>
          <t>2026-10-08 20:13:19</t>
        </is>
      </c>
    </row>
    <row r="274" ht="21.95" customHeight="1">
      <c r="A274" s="2" t="n">
        <v>273</v>
      </c>
      <c r="B274" s="31" t="inlineStr">
        <is>
          <t>http://www.nkgen.com</t>
        </is>
      </c>
      <c r="C274" s="2" t="inlineStr">
        <is>
          <t>ศิลปะ-วัฒนธรรม</t>
        </is>
      </c>
      <c r="D274" s="10">
        <f>F274/71</f>
        <v/>
      </c>
      <c r="E274" s="11">
        <f>IF(D274&gt;=0.9,"ดีเยี่ยม",IF(D274&gt;=0.7,"ดี",IF(D274&gt;=0.5,"พอใช้","ต้องปรับปรุง")))</f>
        <v/>
      </c>
      <c r="F274" s="6">
        <f>J274+N274+R274+V274</f>
        <v/>
      </c>
      <c r="G274" s="6">
        <f>K274+O274+S274+W274</f>
        <v/>
      </c>
      <c r="H274" s="6">
        <f>L274+P274+T274+X274</f>
        <v/>
      </c>
      <c r="I274" s="7">
        <f>J274/37</f>
        <v/>
      </c>
      <c r="J274" s="6" t="n">
        <v>31</v>
      </c>
      <c r="K274" s="6" t="n">
        <v>4</v>
      </c>
      <c r="L274" s="6" t="n">
        <v>2</v>
      </c>
      <c r="M274" s="7">
        <f>N274/9</f>
        <v/>
      </c>
      <c r="N274" s="6" t="n">
        <v>7</v>
      </c>
      <c r="O274" s="6" t="n">
        <v>1</v>
      </c>
      <c r="P274" s="6" t="n">
        <v>1</v>
      </c>
      <c r="Q274" s="7">
        <f>R274/11</f>
        <v/>
      </c>
      <c r="R274" s="6" t="n">
        <v>5</v>
      </c>
      <c r="S274" s="6" t="n">
        <v>3</v>
      </c>
      <c r="T274" s="6" t="n">
        <v>3</v>
      </c>
      <c r="U274" s="7">
        <f>V274/14</f>
        <v/>
      </c>
      <c r="V274" s="6" t="n">
        <v>2</v>
      </c>
      <c r="W274" s="6" t="n">
        <v>12</v>
      </c>
      <c r="X274" s="6" t="n">
        <v>0</v>
      </c>
      <c r="Y274" s="8" t="n">
        <v>36.43</v>
      </c>
      <c r="Z274" s="9" t="inlineStr">
        <is>
          <t>Success</t>
        </is>
      </c>
      <c r="AA274" s="2" t="inlineStr">
        <is>
          <t>2026-10-08 20:13:55</t>
        </is>
      </c>
    </row>
    <row r="275" ht="21.95" customHeight="1">
      <c r="A275" s="2" t="n">
        <v>274</v>
      </c>
      <c r="B275" s="31" t="inlineStr">
        <is>
          <t>http://www.bectero.com</t>
        </is>
      </c>
      <c r="C275" s="2" t="inlineStr">
        <is>
          <t>ธุรกิจ</t>
        </is>
      </c>
      <c r="D275" s="4">
        <f>F275/71</f>
        <v/>
      </c>
      <c r="E275" s="5">
        <f>IF(D275&gt;=0.9,"ดีเยี่ยม",IF(D275&gt;=0.7,"ดี",IF(D275&gt;=0.5,"พอใช้","ต้องปรับปรุง")))</f>
        <v/>
      </c>
      <c r="F275" s="6">
        <f>J275+N275+R275+V275</f>
        <v/>
      </c>
      <c r="G275" s="6">
        <f>K275+O275+S275+W275</f>
        <v/>
      </c>
      <c r="H275" s="6">
        <f>L275+P275+T275+X275</f>
        <v/>
      </c>
      <c r="I275" s="7">
        <f>J275/37</f>
        <v/>
      </c>
      <c r="J275" s="6" t="n">
        <v>37</v>
      </c>
      <c r="K275" s="6" t="n">
        <v>0</v>
      </c>
      <c r="L275" s="6" t="n">
        <v>0</v>
      </c>
      <c r="M275" s="7">
        <f>N275/9</f>
        <v/>
      </c>
      <c r="N275" s="6" t="n">
        <v>9</v>
      </c>
      <c r="O275" s="6" t="n">
        <v>0</v>
      </c>
      <c r="P275" s="6" t="n">
        <v>0</v>
      </c>
      <c r="Q275" s="7">
        <f>R275/11</f>
        <v/>
      </c>
      <c r="R275" s="6" t="n">
        <v>3</v>
      </c>
      <c r="S275" s="6" t="n">
        <v>3</v>
      </c>
      <c r="T275" s="6" t="n">
        <v>5</v>
      </c>
      <c r="U275" s="7">
        <f>V275/14</f>
        <v/>
      </c>
      <c r="V275" s="6" t="n">
        <v>2</v>
      </c>
      <c r="W275" s="6" t="n">
        <v>12</v>
      </c>
      <c r="X275" s="6" t="n">
        <v>0</v>
      </c>
      <c r="Y275" s="8" t="n">
        <v>35.63</v>
      </c>
      <c r="Z275" s="9" t="inlineStr">
        <is>
          <t>Success</t>
        </is>
      </c>
      <c r="AA275" s="2" t="inlineStr">
        <is>
          <t>2026-10-09 12:17:02</t>
        </is>
      </c>
    </row>
    <row r="276" ht="21.95" customHeight="1">
      <c r="A276" s="2" t="n">
        <v>275</v>
      </c>
      <c r="B276" s="31" t="inlineStr">
        <is>
          <t>http://www.thaiddns.com</t>
        </is>
      </c>
      <c r="C276" s="2" t="inlineStr">
        <is>
          <t>อินเทอร์เน็ต</t>
        </is>
      </c>
      <c r="D276" s="10">
        <f>F276/71</f>
        <v/>
      </c>
      <c r="E276" s="11">
        <f>IF(D276&gt;=0.9,"ดีเยี่ยม",IF(D276&gt;=0.7,"ดี",IF(D276&gt;=0.5,"พอใช้","ต้องปรับปรุง")))</f>
        <v/>
      </c>
      <c r="F276" s="6">
        <f>J276+N276+R276+V276</f>
        <v/>
      </c>
      <c r="G276" s="6">
        <f>K276+O276+S276+W276</f>
        <v/>
      </c>
      <c r="H276" s="6">
        <f>L276+P276+T276+X276</f>
        <v/>
      </c>
      <c r="I276" s="7">
        <f>J276/37</f>
        <v/>
      </c>
      <c r="J276" s="6" t="n">
        <v>31</v>
      </c>
      <c r="K276" s="6" t="n">
        <v>6</v>
      </c>
      <c r="L276" s="6" t="n">
        <v>0</v>
      </c>
      <c r="M276" s="7">
        <f>N276/9</f>
        <v/>
      </c>
      <c r="N276" s="6" t="n">
        <v>7</v>
      </c>
      <c r="O276" s="6" t="n">
        <v>2</v>
      </c>
      <c r="P276" s="6" t="n">
        <v>0</v>
      </c>
      <c r="Q276" s="7">
        <f>R276/11</f>
        <v/>
      </c>
      <c r="R276" s="6" t="n">
        <v>3</v>
      </c>
      <c r="S276" s="6" t="n">
        <v>3</v>
      </c>
      <c r="T276" s="6" t="n">
        <v>5</v>
      </c>
      <c r="U276" s="7">
        <f>V276/14</f>
        <v/>
      </c>
      <c r="V276" s="6" t="n">
        <v>2</v>
      </c>
      <c r="W276" s="6" t="n">
        <v>12</v>
      </c>
      <c r="X276" s="6" t="n">
        <v>0</v>
      </c>
      <c r="Y276" s="8" t="n">
        <v>39.39</v>
      </c>
      <c r="Z276" s="9" t="inlineStr">
        <is>
          <t>Success</t>
        </is>
      </c>
      <c r="AA276" s="2" t="inlineStr">
        <is>
          <t>2026-10-09 12:17:42</t>
        </is>
      </c>
    </row>
    <row r="277" ht="21.95" customHeight="1">
      <c r="A277" s="2" t="n">
        <v>276</v>
      </c>
      <c r="B277" s="31" t="inlineStr">
        <is>
          <t>http://www.engr.tu.ac.th</t>
        </is>
      </c>
      <c r="C277" s="2" t="inlineStr">
        <is>
          <t>การศึกษา</t>
        </is>
      </c>
      <c r="D277" s="10">
        <f>F277/71</f>
        <v/>
      </c>
      <c r="E277" s="11">
        <f>IF(D277&gt;=0.9,"ดีเยี่ยม",IF(D277&gt;=0.7,"ดี",IF(D277&gt;=0.5,"พอใช้","ต้องปรับปรุง")))</f>
        <v/>
      </c>
      <c r="F277" s="6">
        <f>J277+N277+R277+V277</f>
        <v/>
      </c>
      <c r="G277" s="6">
        <f>K277+O277+S277+W277</f>
        <v/>
      </c>
      <c r="H277" s="6">
        <f>L277+P277+T277+X277</f>
        <v/>
      </c>
      <c r="I277" s="7">
        <f>J277/37</f>
        <v/>
      </c>
      <c r="J277" s="6" t="n">
        <v>33</v>
      </c>
      <c r="K277" s="6" t="n">
        <v>4</v>
      </c>
      <c r="L277" s="6" t="n">
        <v>0</v>
      </c>
      <c r="M277" s="7">
        <f>N277/9</f>
        <v/>
      </c>
      <c r="N277" s="6" t="n">
        <v>8</v>
      </c>
      <c r="O277" s="6" t="n">
        <v>1</v>
      </c>
      <c r="P277" s="6" t="n">
        <v>0</v>
      </c>
      <c r="Q277" s="7">
        <f>R277/11</f>
        <v/>
      </c>
      <c r="R277" s="6" t="n">
        <v>3</v>
      </c>
      <c r="S277" s="6" t="n">
        <v>3</v>
      </c>
      <c r="T277" s="6" t="n">
        <v>5</v>
      </c>
      <c r="U277" s="7">
        <f>V277/14</f>
        <v/>
      </c>
      <c r="V277" s="6" t="n">
        <v>2</v>
      </c>
      <c r="W277" s="6" t="n">
        <v>12</v>
      </c>
      <c r="X277" s="6" t="n">
        <v>0</v>
      </c>
      <c r="Y277" s="8" t="n">
        <v>35.44</v>
      </c>
      <c r="Z277" s="9" t="inlineStr">
        <is>
          <t>Success</t>
        </is>
      </c>
      <c r="AA277" s="2" t="inlineStr">
        <is>
          <t>2026-10-08 20:16:03</t>
        </is>
      </c>
    </row>
    <row r="278" ht="21.95" customHeight="1">
      <c r="A278" s="2" t="n">
        <v>277</v>
      </c>
      <c r="B278" s="31" t="inlineStr">
        <is>
          <t>http://www.student-weekly.com</t>
        </is>
      </c>
      <c r="C278" s="2" t="inlineStr">
        <is>
          <t>ข่าว-สื่อ</t>
        </is>
      </c>
      <c r="D278" s="10">
        <f>F278/71</f>
        <v/>
      </c>
      <c r="E278" s="11">
        <f>IF(D278&gt;=0.9,"ดีเยี่ยม",IF(D278&gt;=0.7,"ดี",IF(D278&gt;=0.5,"พอใช้","ต้องปรับปรุง")))</f>
        <v/>
      </c>
      <c r="F278" s="6">
        <f>J278+N278+R278+V278</f>
        <v/>
      </c>
      <c r="G278" s="6">
        <f>K278+O278+S278+W278</f>
        <v/>
      </c>
      <c r="H278" s="6">
        <f>L278+P278+T278+X278</f>
        <v/>
      </c>
      <c r="I278" s="7">
        <f>J278/37</f>
        <v/>
      </c>
      <c r="J278" s="6" t="n">
        <v>32</v>
      </c>
      <c r="K278" s="6" t="n">
        <v>5</v>
      </c>
      <c r="L278" s="6" t="n">
        <v>0</v>
      </c>
      <c r="M278" s="7">
        <f>N278/9</f>
        <v/>
      </c>
      <c r="N278" s="6" t="n">
        <v>7</v>
      </c>
      <c r="O278" s="6" t="n">
        <v>2</v>
      </c>
      <c r="P278" s="6" t="n">
        <v>0</v>
      </c>
      <c r="Q278" s="7">
        <f>R278/11</f>
        <v/>
      </c>
      <c r="R278" s="6" t="n">
        <v>6</v>
      </c>
      <c r="S278" s="6" t="n">
        <v>3</v>
      </c>
      <c r="T278" s="6" t="n">
        <v>2</v>
      </c>
      <c r="U278" s="7">
        <f>V278/14</f>
        <v/>
      </c>
      <c r="V278" s="6" t="n">
        <v>2</v>
      </c>
      <c r="W278" s="6" t="n">
        <v>12</v>
      </c>
      <c r="X278" s="6" t="n">
        <v>0</v>
      </c>
      <c r="Y278" s="8" t="n">
        <v>19.1</v>
      </c>
      <c r="Z278" s="9" t="inlineStr">
        <is>
          <t>Success</t>
        </is>
      </c>
      <c r="AA278" s="2" t="inlineStr">
        <is>
          <t>2026-10-09 12:18:01</t>
        </is>
      </c>
    </row>
    <row r="279" ht="21.95" customHeight="1">
      <c r="A279" s="2" t="n">
        <v>278</v>
      </c>
      <c r="B279" s="31" t="inlineStr">
        <is>
          <t>http://www.prsociety.net</t>
        </is>
      </c>
      <c r="C279" s="2" t="inlineStr">
        <is>
          <t>ข่าว-สื่อ</t>
        </is>
      </c>
      <c r="D279" s="25">
        <f>F279/71</f>
        <v/>
      </c>
      <c r="E279" s="26">
        <f>IF(D279&gt;=0.9,"ดีเยี่ยม",IF(D279&gt;=0.7,"ดี",IF(D279&gt;=0.5,"พอใช้","ต้องปรับปรุง")))</f>
        <v/>
      </c>
      <c r="F279" s="6">
        <f>J279+N279+R279+V279</f>
        <v/>
      </c>
      <c r="G279" s="6">
        <f>K279+O279+S279+W279</f>
        <v/>
      </c>
      <c r="H279" s="6">
        <f>L279+P279+T279+X279</f>
        <v/>
      </c>
      <c r="I279" s="7">
        <f>J279/37</f>
        <v/>
      </c>
      <c r="J279" s="6" t="n">
        <v>0</v>
      </c>
      <c r="K279" s="6" t="n">
        <v>37</v>
      </c>
      <c r="L279" s="6" t="n">
        <v>0</v>
      </c>
      <c r="M279" s="7">
        <f>N279/9</f>
        <v/>
      </c>
      <c r="N279" s="6" t="n">
        <v>0</v>
      </c>
      <c r="O279" s="6" t="n">
        <v>9</v>
      </c>
      <c r="P279" s="6" t="n">
        <v>0</v>
      </c>
      <c r="Q279" s="7">
        <f>R279/11</f>
        <v/>
      </c>
      <c r="R279" s="6" t="n">
        <v>0</v>
      </c>
      <c r="S279" s="6" t="n">
        <v>11</v>
      </c>
      <c r="T279" s="6" t="n">
        <v>0</v>
      </c>
      <c r="U279" s="7">
        <f>V279/14</f>
        <v/>
      </c>
      <c r="V279" s="6" t="n">
        <v>0</v>
      </c>
      <c r="W279" s="6" t="n">
        <v>14</v>
      </c>
      <c r="X279" s="6" t="n">
        <v>0</v>
      </c>
      <c r="Y279" s="8" t="n">
        <v>0.29</v>
      </c>
      <c r="Z279" s="27" t="inlineStr">
        <is>
          <t>Failed (Server Error (HTTP 500))</t>
        </is>
      </c>
      <c r="AA279" s="2" t="inlineStr">
        <is>
          <t>2026-10-21 00:13:37</t>
        </is>
      </c>
    </row>
    <row r="280" ht="21.95" customHeight="1">
      <c r="A280" s="2" t="n">
        <v>279</v>
      </c>
      <c r="B280" s="31" t="inlineStr">
        <is>
          <t>http://www.bangkokdentalhospital.com</t>
        </is>
      </c>
      <c r="C280" s="2" t="inlineStr">
        <is>
          <t>สุขภาพ</t>
        </is>
      </c>
      <c r="D280" s="4">
        <f>F280/71</f>
        <v/>
      </c>
      <c r="E280" s="5">
        <f>IF(D280&gt;=0.9,"ดีเยี่ยม",IF(D280&gt;=0.7,"ดี",IF(D280&gt;=0.5,"พอใช้","ต้องปรับปรุง")))</f>
        <v/>
      </c>
      <c r="F280" s="6">
        <f>J280+N280+R280+V280</f>
        <v/>
      </c>
      <c r="G280" s="6">
        <f>K280+O280+S280+W280</f>
        <v/>
      </c>
      <c r="H280" s="6">
        <f>L280+P280+T280+X280</f>
        <v/>
      </c>
      <c r="I280" s="7">
        <f>J280/37</f>
        <v/>
      </c>
      <c r="J280" s="6" t="n">
        <v>34</v>
      </c>
      <c r="K280" s="6" t="n">
        <v>3</v>
      </c>
      <c r="L280" s="6" t="n">
        <v>0</v>
      </c>
      <c r="M280" s="7">
        <f>N280/9</f>
        <v/>
      </c>
      <c r="N280" s="6" t="n">
        <v>9</v>
      </c>
      <c r="O280" s="6" t="n">
        <v>0</v>
      </c>
      <c r="P280" s="6" t="n">
        <v>0</v>
      </c>
      <c r="Q280" s="7">
        <f>R280/11</f>
        <v/>
      </c>
      <c r="R280" s="6" t="n">
        <v>7</v>
      </c>
      <c r="S280" s="6" t="n">
        <v>3</v>
      </c>
      <c r="T280" s="6" t="n">
        <v>1</v>
      </c>
      <c r="U280" s="7">
        <f>V280/14</f>
        <v/>
      </c>
      <c r="V280" s="6" t="n">
        <v>2</v>
      </c>
      <c r="W280" s="6" t="n">
        <v>12</v>
      </c>
      <c r="X280" s="6" t="n">
        <v>0</v>
      </c>
      <c r="Y280" s="8" t="n">
        <v>99.45999999999999</v>
      </c>
      <c r="Z280" s="9" t="inlineStr">
        <is>
          <t>Success</t>
        </is>
      </c>
      <c r="AA280" s="2" t="inlineStr">
        <is>
          <t>2026-10-08 20:20:02</t>
        </is>
      </c>
    </row>
    <row r="281" ht="21.95" customHeight="1">
      <c r="A281" s="2" t="n">
        <v>280</v>
      </c>
      <c r="B281" s="31" t="inlineStr">
        <is>
          <t>http://siweb1.dss.go.th</t>
        </is>
      </c>
      <c r="C281" s="2" t="inlineStr">
        <is>
          <t>หน่วยงานราชการ,องค์กร</t>
        </is>
      </c>
      <c r="D281" s="25">
        <f>F281/71</f>
        <v/>
      </c>
      <c r="E281" s="26">
        <f>IF(D281&gt;=0.9,"ดีเยี่ยม",IF(D281&gt;=0.7,"ดี",IF(D281&gt;=0.5,"พอใช้","ต้องปรับปรุง")))</f>
        <v/>
      </c>
      <c r="F281" s="6">
        <f>J281+N281+R281+V281</f>
        <v/>
      </c>
      <c r="G281" s="6">
        <f>K281+O281+S281+W281</f>
        <v/>
      </c>
      <c r="H281" s="6">
        <f>L281+P281+T281+X281</f>
        <v/>
      </c>
      <c r="I281" s="7">
        <f>J281/37</f>
        <v/>
      </c>
      <c r="J281" s="6" t="n">
        <v>0</v>
      </c>
      <c r="K281" s="6" t="n">
        <v>37</v>
      </c>
      <c r="L281" s="6" t="n">
        <v>0</v>
      </c>
      <c r="M281" s="7">
        <f>N281/9</f>
        <v/>
      </c>
      <c r="N281" s="6" t="n">
        <v>0</v>
      </c>
      <c r="O281" s="6" t="n">
        <v>9</v>
      </c>
      <c r="P281" s="6" t="n">
        <v>0</v>
      </c>
      <c r="Q281" s="7">
        <f>R281/11</f>
        <v/>
      </c>
      <c r="R281" s="6" t="n">
        <v>0</v>
      </c>
      <c r="S281" s="6" t="n">
        <v>11</v>
      </c>
      <c r="T281" s="6" t="n">
        <v>0</v>
      </c>
      <c r="U281" s="7">
        <f>V281/14</f>
        <v/>
      </c>
      <c r="V281" s="6" t="n">
        <v>0</v>
      </c>
      <c r="W281" s="6" t="n">
        <v>14</v>
      </c>
      <c r="X281" s="6" t="n">
        <v>0</v>
      </c>
      <c r="Y281" s="8" t="n">
        <v>24.07</v>
      </c>
      <c r="Z281" s="27" t="inlineStr">
        <is>
          <t>Failed (Timeout (เว็บไม่ตอบ))</t>
        </is>
      </c>
      <c r="AA281" s="2" t="inlineStr">
        <is>
          <t>2026-10-21 00:13:37</t>
        </is>
      </c>
    </row>
    <row r="282" ht="21.95" customHeight="1">
      <c r="A282" s="2" t="n">
        <v>281</v>
      </c>
      <c r="B282" s="31" t="inlineStr">
        <is>
          <t>http://www.rmutt.ac.th</t>
        </is>
      </c>
      <c r="C282" s="2" t="inlineStr">
        <is>
          <t>การศึกษา</t>
        </is>
      </c>
      <c r="D282" s="4">
        <f>F282/71</f>
        <v/>
      </c>
      <c r="E282" s="5">
        <f>IF(D282&gt;=0.9,"ดีเยี่ยม",IF(D282&gt;=0.7,"ดี",IF(D282&gt;=0.5,"พอใช้","ต้องปรับปรุง")))</f>
        <v/>
      </c>
      <c r="F282" s="6">
        <f>J282+N282+R282+V282</f>
        <v/>
      </c>
      <c r="G282" s="6">
        <f>K282+O282+S282+W282</f>
        <v/>
      </c>
      <c r="H282" s="6">
        <f>L282+P282+T282+X282</f>
        <v/>
      </c>
      <c r="I282" s="7">
        <f>J282/37</f>
        <v/>
      </c>
      <c r="J282" s="6" t="n">
        <v>34</v>
      </c>
      <c r="K282" s="6" t="n">
        <v>3</v>
      </c>
      <c r="L282" s="6" t="n">
        <v>0</v>
      </c>
      <c r="M282" s="7">
        <f>N282/9</f>
        <v/>
      </c>
      <c r="N282" s="6" t="n">
        <v>7</v>
      </c>
      <c r="O282" s="6" t="n">
        <v>2</v>
      </c>
      <c r="P282" s="6" t="n">
        <v>0</v>
      </c>
      <c r="Q282" s="7">
        <f>R282/11</f>
        <v/>
      </c>
      <c r="R282" s="6" t="n">
        <v>7</v>
      </c>
      <c r="S282" s="6" t="n">
        <v>3</v>
      </c>
      <c r="T282" s="6" t="n">
        <v>1</v>
      </c>
      <c r="U282" s="7">
        <f>V282/14</f>
        <v/>
      </c>
      <c r="V282" s="6" t="n">
        <v>3</v>
      </c>
      <c r="W282" s="6" t="n">
        <v>11</v>
      </c>
      <c r="X282" s="6" t="n">
        <v>0</v>
      </c>
      <c r="Y282" s="8" t="n">
        <v>15.82</v>
      </c>
      <c r="Z282" s="9" t="inlineStr">
        <is>
          <t>Success</t>
        </is>
      </c>
      <c r="AA282" s="2" t="inlineStr">
        <is>
          <t>2026-10-08 20:20:43</t>
        </is>
      </c>
    </row>
    <row r="283" ht="21.95" customHeight="1">
      <c r="A283" s="2" t="n">
        <v>282</v>
      </c>
      <c r="B283" s="31" t="inlineStr">
        <is>
          <t>http://www.thailandcube.com</t>
        </is>
      </c>
      <c r="C283" s="2" t="inlineStr">
        <is>
          <t>เกมส์</t>
        </is>
      </c>
      <c r="D283" s="25">
        <f>F283/71</f>
        <v/>
      </c>
      <c r="E283" s="26">
        <f>IF(D283&gt;=0.9,"ดีเยี่ยม",IF(D283&gt;=0.7,"ดี",IF(D283&gt;=0.5,"พอใช้","ต้องปรับปรุง")))</f>
        <v/>
      </c>
      <c r="F283" s="6">
        <f>J283+N283+R283+V283</f>
        <v/>
      </c>
      <c r="G283" s="6">
        <f>K283+O283+S283+W283</f>
        <v/>
      </c>
      <c r="H283" s="6">
        <f>L283+P283+T283+X283</f>
        <v/>
      </c>
      <c r="I283" s="7">
        <f>J283/37</f>
        <v/>
      </c>
      <c r="J283" s="6" t="n">
        <v>0</v>
      </c>
      <c r="K283" s="6" t="n">
        <v>37</v>
      </c>
      <c r="L283" s="6" t="n">
        <v>0</v>
      </c>
      <c r="M283" s="7">
        <f>N283/9</f>
        <v/>
      </c>
      <c r="N283" s="6" t="n">
        <v>0</v>
      </c>
      <c r="O283" s="6" t="n">
        <v>9</v>
      </c>
      <c r="P283" s="6" t="n">
        <v>0</v>
      </c>
      <c r="Q283" s="7">
        <f>R283/11</f>
        <v/>
      </c>
      <c r="R283" s="6" t="n">
        <v>0</v>
      </c>
      <c r="S283" s="6" t="n">
        <v>11</v>
      </c>
      <c r="T283" s="6" t="n">
        <v>0</v>
      </c>
      <c r="U283" s="7">
        <f>V283/14</f>
        <v/>
      </c>
      <c r="V283" s="6" t="n">
        <v>0</v>
      </c>
      <c r="W283" s="6" t="n">
        <v>14</v>
      </c>
      <c r="X283" s="6" t="n">
        <v>0</v>
      </c>
      <c r="Y283" s="8" t="n">
        <v>0.3</v>
      </c>
      <c r="Z283" s="27" t="inlineStr">
        <is>
          <t>Failed (จอขาว / ไม่มีเนื้อหา (Blank Screen))</t>
        </is>
      </c>
      <c r="AA283" s="2" t="inlineStr">
        <is>
          <t>2026-10-21 00:13:37</t>
        </is>
      </c>
    </row>
    <row r="284" ht="21.95" customHeight="1">
      <c r="A284" s="2" t="n">
        <v>283</v>
      </c>
      <c r="B284" s="31" t="inlineStr">
        <is>
          <t>http://www.cw.in.th</t>
        </is>
      </c>
      <c r="C284" s="2" t="inlineStr">
        <is>
          <t>อินเทอร์เน็ต</t>
        </is>
      </c>
      <c r="D284" s="10">
        <f>F284/71</f>
        <v/>
      </c>
      <c r="E284" s="11">
        <f>IF(D284&gt;=0.9,"ดีเยี่ยม",IF(D284&gt;=0.7,"ดี",IF(D284&gt;=0.5,"พอใช้","ต้องปรับปรุง")))</f>
        <v/>
      </c>
      <c r="F284" s="6">
        <f>J284+N284+R284+V284</f>
        <v/>
      </c>
      <c r="G284" s="6">
        <f>K284+O284+S284+W284</f>
        <v/>
      </c>
      <c r="H284" s="6">
        <f>L284+P284+T284+X284</f>
        <v/>
      </c>
      <c r="I284" s="7">
        <f>J284/37</f>
        <v/>
      </c>
      <c r="J284" s="6" t="n">
        <v>32</v>
      </c>
      <c r="K284" s="6" t="n">
        <v>5</v>
      </c>
      <c r="L284" s="6" t="n">
        <v>0</v>
      </c>
      <c r="M284" s="7">
        <f>N284/9</f>
        <v/>
      </c>
      <c r="N284" s="6" t="n">
        <v>8</v>
      </c>
      <c r="O284" s="6" t="n">
        <v>1</v>
      </c>
      <c r="P284" s="6" t="n">
        <v>0</v>
      </c>
      <c r="Q284" s="7">
        <f>R284/11</f>
        <v/>
      </c>
      <c r="R284" s="6" t="n">
        <v>4</v>
      </c>
      <c r="S284" s="6" t="n">
        <v>3</v>
      </c>
      <c r="T284" s="6" t="n">
        <v>4</v>
      </c>
      <c r="U284" s="7">
        <f>V284/14</f>
        <v/>
      </c>
      <c r="V284" s="6" t="n">
        <v>2</v>
      </c>
      <c r="W284" s="6" t="n">
        <v>12</v>
      </c>
      <c r="X284" s="6" t="n">
        <v>0</v>
      </c>
      <c r="Y284" s="8" t="n">
        <v>31.34</v>
      </c>
      <c r="Z284" s="9" t="inlineStr">
        <is>
          <t>Success</t>
        </is>
      </c>
      <c r="AA284" s="2" t="inlineStr">
        <is>
          <t>2026-10-08 20:22:57</t>
        </is>
      </c>
    </row>
    <row r="285" ht="21.95" customHeight="1">
      <c r="A285" s="2" t="n">
        <v>284</v>
      </c>
      <c r="B285" s="31" t="inlineStr">
        <is>
          <t>http://www.thaipattern.com</t>
        </is>
      </c>
      <c r="C285" s="2" t="inlineStr">
        <is>
          <t>ธุรกิจ</t>
        </is>
      </c>
      <c r="D285" s="25">
        <f>F285/71</f>
        <v/>
      </c>
      <c r="E285" s="26">
        <f>IF(D285&gt;=0.9,"ดีเยี่ยม",IF(D285&gt;=0.7,"ดี",IF(D285&gt;=0.5,"พอใช้","ต้องปรับปรุง")))</f>
        <v/>
      </c>
      <c r="F285" s="6">
        <f>J285+N285+R285+V285</f>
        <v/>
      </c>
      <c r="G285" s="6">
        <f>K285+O285+S285+W285</f>
        <v/>
      </c>
      <c r="H285" s="6">
        <f>L285+P285+T285+X285</f>
        <v/>
      </c>
      <c r="I285" s="7">
        <f>J285/37</f>
        <v/>
      </c>
      <c r="J285" s="6" t="n">
        <v>0</v>
      </c>
      <c r="K285" s="6" t="n">
        <v>37</v>
      </c>
      <c r="L285" s="6" t="n">
        <v>0</v>
      </c>
      <c r="M285" s="7">
        <f>N285/9</f>
        <v/>
      </c>
      <c r="N285" s="6" t="n">
        <v>0</v>
      </c>
      <c r="O285" s="6" t="n">
        <v>9</v>
      </c>
      <c r="P285" s="6" t="n">
        <v>0</v>
      </c>
      <c r="Q285" s="7">
        <f>R285/11</f>
        <v/>
      </c>
      <c r="R285" s="6" t="n">
        <v>0</v>
      </c>
      <c r="S285" s="6" t="n">
        <v>11</v>
      </c>
      <c r="T285" s="6" t="n">
        <v>0</v>
      </c>
      <c r="U285" s="7">
        <f>V285/14</f>
        <v/>
      </c>
      <c r="V285" s="6" t="n">
        <v>0</v>
      </c>
      <c r="W285" s="6" t="n">
        <v>14</v>
      </c>
      <c r="X285" s="6" t="n">
        <v>0</v>
      </c>
      <c r="Y285" s="8" t="n">
        <v>0.23</v>
      </c>
      <c r="Z285" s="27" t="inlineStr">
        <is>
          <t>Failed (จอขาว / ไม่มีเนื้อหา (Blank Screen))</t>
        </is>
      </c>
      <c r="AA285" s="2" t="inlineStr">
        <is>
          <t>2026-10-21 00:13:37</t>
        </is>
      </c>
    </row>
    <row r="286" ht="21.95" customHeight="1">
      <c r="A286" s="2" t="n">
        <v>285</v>
      </c>
      <c r="B286" s="31" t="inlineStr">
        <is>
          <t>http://www.stou.ac.th</t>
        </is>
      </c>
      <c r="C286" s="2" t="inlineStr">
        <is>
          <t>การศึกษา</t>
        </is>
      </c>
      <c r="D286" s="10">
        <f>F286/71</f>
        <v/>
      </c>
      <c r="E286" s="11">
        <f>IF(D286&gt;=0.9,"ดีเยี่ยม",IF(D286&gt;=0.7,"ดี",IF(D286&gt;=0.5,"พอใช้","ต้องปรับปรุง")))</f>
        <v/>
      </c>
      <c r="F286" s="6">
        <f>J286+N286+R286+V286</f>
        <v/>
      </c>
      <c r="G286" s="6">
        <f>K286+O286+S286+W286</f>
        <v/>
      </c>
      <c r="H286" s="6">
        <f>L286+P286+T286+X286</f>
        <v/>
      </c>
      <c r="I286" s="7">
        <f>J286/37</f>
        <v/>
      </c>
      <c r="J286" s="6" t="n">
        <v>31</v>
      </c>
      <c r="K286" s="6" t="n">
        <v>6</v>
      </c>
      <c r="L286" s="6" t="n">
        <v>0</v>
      </c>
      <c r="M286" s="7">
        <f>N286/9</f>
        <v/>
      </c>
      <c r="N286" s="6" t="n">
        <v>8</v>
      </c>
      <c r="O286" s="6" t="n">
        <v>1</v>
      </c>
      <c r="P286" s="6" t="n">
        <v>0</v>
      </c>
      <c r="Q286" s="7">
        <f>R286/11</f>
        <v/>
      </c>
      <c r="R286" s="6" t="n">
        <v>4</v>
      </c>
      <c r="S286" s="6" t="n">
        <v>4</v>
      </c>
      <c r="T286" s="6" t="n">
        <v>3</v>
      </c>
      <c r="U286" s="7">
        <f>V286/14</f>
        <v/>
      </c>
      <c r="V286" s="6" t="n">
        <v>1</v>
      </c>
      <c r="W286" s="6" t="n">
        <v>12</v>
      </c>
      <c r="X286" s="6" t="n">
        <v>1</v>
      </c>
      <c r="Y286" s="8" t="n">
        <v>28.51</v>
      </c>
      <c r="Z286" s="9" t="inlineStr">
        <is>
          <t>Success</t>
        </is>
      </c>
      <c r="AA286" s="2" t="inlineStr">
        <is>
          <t>2026-10-08 20:23:49</t>
        </is>
      </c>
    </row>
    <row r="287" ht="21.95" customHeight="1">
      <c r="A287" s="2" t="n">
        <v>286</v>
      </c>
      <c r="B287" s="31" t="inlineStr">
        <is>
          <t>http://www.m-society.go.th</t>
        </is>
      </c>
      <c r="C287" s="2" t="inlineStr">
        <is>
          <t>หน่วยงานราชการ,องค์กร</t>
        </is>
      </c>
      <c r="D287" s="4">
        <f>F287/71</f>
        <v/>
      </c>
      <c r="E287" s="5">
        <f>IF(D287&gt;=0.9,"ดีเยี่ยม",IF(D287&gt;=0.7,"ดี",IF(D287&gt;=0.5,"พอใช้","ต้องปรับปรุง")))</f>
        <v/>
      </c>
      <c r="F287" s="6">
        <f>J287+N287+R287+V287</f>
        <v/>
      </c>
      <c r="G287" s="6">
        <f>K287+O287+S287+W287</f>
        <v/>
      </c>
      <c r="H287" s="6">
        <f>L287+P287+T287+X287</f>
        <v/>
      </c>
      <c r="I287" s="7">
        <f>J287/37</f>
        <v/>
      </c>
      <c r="J287" s="6" t="n">
        <v>35</v>
      </c>
      <c r="K287" s="6" t="n">
        <v>2</v>
      </c>
      <c r="L287" s="6" t="n">
        <v>0</v>
      </c>
      <c r="M287" s="7">
        <f>N287/9</f>
        <v/>
      </c>
      <c r="N287" s="6" t="n">
        <v>6</v>
      </c>
      <c r="O287" s="6" t="n">
        <v>3</v>
      </c>
      <c r="P287" s="6" t="n">
        <v>0</v>
      </c>
      <c r="Q287" s="7">
        <f>R287/11</f>
        <v/>
      </c>
      <c r="R287" s="6" t="n">
        <v>6</v>
      </c>
      <c r="S287" s="6" t="n">
        <v>2</v>
      </c>
      <c r="T287" s="6" t="n">
        <v>3</v>
      </c>
      <c r="U287" s="7">
        <f>V287/14</f>
        <v/>
      </c>
      <c r="V287" s="6" t="n">
        <v>5</v>
      </c>
      <c r="W287" s="6" t="n">
        <v>8</v>
      </c>
      <c r="X287" s="6" t="n">
        <v>1</v>
      </c>
      <c r="Y287" s="8" t="n">
        <v>15.72</v>
      </c>
      <c r="Z287" s="9" t="inlineStr">
        <is>
          <t>Success</t>
        </is>
      </c>
      <c r="AA287" s="2" t="inlineStr">
        <is>
          <t>2026-10-08 20:24:04</t>
        </is>
      </c>
    </row>
    <row r="288" ht="21.95" customHeight="1">
      <c r="A288" s="2" t="n">
        <v>287</v>
      </c>
      <c r="B288" s="31" t="inlineStr">
        <is>
          <t>http://www.chomthai.com</t>
        </is>
      </c>
      <c r="C288" s="2" t="inlineStr">
        <is>
          <t>ท่องเที่ยว</t>
        </is>
      </c>
      <c r="D288" s="10">
        <f>F288/71</f>
        <v/>
      </c>
      <c r="E288" s="11">
        <f>IF(D288&gt;=0.9,"ดีเยี่ยม",IF(D288&gt;=0.7,"ดี",IF(D288&gt;=0.5,"พอใช้","ต้องปรับปรุง")))</f>
        <v/>
      </c>
      <c r="F288" s="6">
        <f>J288+N288+R288+V288</f>
        <v/>
      </c>
      <c r="G288" s="6">
        <f>K288+O288+S288+W288</f>
        <v/>
      </c>
      <c r="H288" s="6">
        <f>L288+P288+T288+X288</f>
        <v/>
      </c>
      <c r="I288" s="7">
        <f>J288/37</f>
        <v/>
      </c>
      <c r="J288" s="6" t="n">
        <v>29</v>
      </c>
      <c r="K288" s="6" t="n">
        <v>8</v>
      </c>
      <c r="L288" s="6" t="n">
        <v>0</v>
      </c>
      <c r="M288" s="7">
        <f>N288/9</f>
        <v/>
      </c>
      <c r="N288" s="6" t="n">
        <v>9</v>
      </c>
      <c r="O288" s="6" t="n">
        <v>0</v>
      </c>
      <c r="P288" s="6" t="n">
        <v>0</v>
      </c>
      <c r="Q288" s="7">
        <f>R288/11</f>
        <v/>
      </c>
      <c r="R288" s="6" t="n">
        <v>4</v>
      </c>
      <c r="S288" s="6" t="n">
        <v>3</v>
      </c>
      <c r="T288" s="6" t="n">
        <v>4</v>
      </c>
      <c r="U288" s="7">
        <f>V288/14</f>
        <v/>
      </c>
      <c r="V288" s="6" t="n">
        <v>2</v>
      </c>
      <c r="W288" s="6" t="n">
        <v>12</v>
      </c>
      <c r="X288" s="6" t="n">
        <v>0</v>
      </c>
      <c r="Y288" s="8" t="n">
        <v>32.87</v>
      </c>
      <c r="Z288" s="9" t="inlineStr">
        <is>
          <t>Success</t>
        </is>
      </c>
      <c r="AA288" s="2" t="inlineStr">
        <is>
          <t>2026-10-09 12:21:45</t>
        </is>
      </c>
    </row>
    <row r="289" ht="21.95" customHeight="1">
      <c r="A289" s="2" t="n">
        <v>288</v>
      </c>
      <c r="B289" s="31" t="inlineStr">
        <is>
          <t>http://www.innnews.co.th</t>
        </is>
      </c>
      <c r="C289" s="2" t="inlineStr">
        <is>
          <t>ข่าว-สื่อ</t>
        </is>
      </c>
      <c r="D289" s="10">
        <f>F289/71</f>
        <v/>
      </c>
      <c r="E289" s="11">
        <f>IF(D289&gt;=0.9,"ดีเยี่ยม",IF(D289&gt;=0.7,"ดี",IF(D289&gt;=0.5,"พอใช้","ต้องปรับปรุง")))</f>
        <v/>
      </c>
      <c r="F289" s="6">
        <f>J289+N289+R289+V289</f>
        <v/>
      </c>
      <c r="G289" s="6">
        <f>K289+O289+S289+W289</f>
        <v/>
      </c>
      <c r="H289" s="6">
        <f>L289+P289+T289+X289</f>
        <v/>
      </c>
      <c r="I289" s="7">
        <f>J289/37</f>
        <v/>
      </c>
      <c r="J289" s="6" t="n">
        <v>31</v>
      </c>
      <c r="K289" s="6" t="n">
        <v>6</v>
      </c>
      <c r="L289" s="6" t="n">
        <v>0</v>
      </c>
      <c r="M289" s="7">
        <f>N289/9</f>
        <v/>
      </c>
      <c r="N289" s="6" t="n">
        <v>8</v>
      </c>
      <c r="O289" s="6" t="n">
        <v>1</v>
      </c>
      <c r="P289" s="6" t="n">
        <v>0</v>
      </c>
      <c r="Q289" s="7">
        <f>R289/11</f>
        <v/>
      </c>
      <c r="R289" s="6" t="n">
        <v>3</v>
      </c>
      <c r="S289" s="6" t="n">
        <v>3</v>
      </c>
      <c r="T289" s="6" t="n">
        <v>5</v>
      </c>
      <c r="U289" s="7">
        <f>V289/14</f>
        <v/>
      </c>
      <c r="V289" s="6" t="n">
        <v>2</v>
      </c>
      <c r="W289" s="6" t="n">
        <v>12</v>
      </c>
      <c r="X289" s="6" t="n">
        <v>0</v>
      </c>
      <c r="Y289" s="8" t="n">
        <v>66.63</v>
      </c>
      <c r="Z289" s="9" t="inlineStr">
        <is>
          <t>Success</t>
        </is>
      </c>
      <c r="AA289" s="2" t="inlineStr">
        <is>
          <t>2026-10-08 20:26:08</t>
        </is>
      </c>
    </row>
    <row r="290" ht="21.95" customHeight="1">
      <c r="A290" s="2" t="n">
        <v>289</v>
      </c>
      <c r="B290" s="31" t="inlineStr">
        <is>
          <t>http://www.thaitechnics.com</t>
        </is>
      </c>
      <c r="C290" s="2" t="inlineStr">
        <is>
          <t>การศึกษา</t>
        </is>
      </c>
      <c r="D290" s="10">
        <f>F290/71</f>
        <v/>
      </c>
      <c r="E290" s="11">
        <f>IF(D290&gt;=0.9,"ดีเยี่ยม",IF(D290&gt;=0.7,"ดี",IF(D290&gt;=0.5,"พอใช้","ต้องปรับปรุง")))</f>
        <v/>
      </c>
      <c r="F290" s="6">
        <f>J290+N290+R290+V290</f>
        <v/>
      </c>
      <c r="G290" s="6">
        <f>K290+O290+S290+W290</f>
        <v/>
      </c>
      <c r="H290" s="6">
        <f>L290+P290+T290+X290</f>
        <v/>
      </c>
      <c r="I290" s="7">
        <f>J290/37</f>
        <v/>
      </c>
      <c r="J290" s="6" t="n">
        <v>35</v>
      </c>
      <c r="K290" s="6" t="n">
        <v>2</v>
      </c>
      <c r="L290" s="6" t="n">
        <v>0</v>
      </c>
      <c r="M290" s="7">
        <f>N290/9</f>
        <v/>
      </c>
      <c r="N290" s="6" t="n">
        <v>6</v>
      </c>
      <c r="O290" s="6" t="n">
        <v>3</v>
      </c>
      <c r="P290" s="6" t="n">
        <v>0</v>
      </c>
      <c r="Q290" s="7">
        <f>R290/11</f>
        <v/>
      </c>
      <c r="R290" s="6" t="n">
        <v>3</v>
      </c>
      <c r="S290" s="6" t="n">
        <v>3</v>
      </c>
      <c r="T290" s="6" t="n">
        <v>5</v>
      </c>
      <c r="U290" s="7">
        <f>V290/14</f>
        <v/>
      </c>
      <c r="V290" s="6" t="n">
        <v>2</v>
      </c>
      <c r="W290" s="6" t="n">
        <v>11</v>
      </c>
      <c r="X290" s="6" t="n">
        <v>1</v>
      </c>
      <c r="Y290" s="8" t="n">
        <v>44.79</v>
      </c>
      <c r="Z290" s="9" t="inlineStr">
        <is>
          <t>Success</t>
        </is>
      </c>
      <c r="AA290" s="2" t="inlineStr">
        <is>
          <t>2026-10-08 20:26:53</t>
        </is>
      </c>
    </row>
    <row r="291" ht="21.95" customHeight="1">
      <c r="A291" s="2" t="n">
        <v>290</v>
      </c>
      <c r="B291" s="31" t="inlineStr">
        <is>
          <t>http://bitcointhailand.org</t>
        </is>
      </c>
      <c r="C291" s="2" t="inlineStr">
        <is>
          <t>ธนาคาร-การเงิน</t>
        </is>
      </c>
      <c r="D291" s="10">
        <f>F291/71</f>
        <v/>
      </c>
      <c r="E291" s="11">
        <f>IF(D291&gt;=0.9,"ดีเยี่ยม",IF(D291&gt;=0.7,"ดี",IF(D291&gt;=0.5,"พอใช้","ต้องปรับปรุง")))</f>
        <v/>
      </c>
      <c r="F291" s="6">
        <f>J291+N291+R291+V291</f>
        <v/>
      </c>
      <c r="G291" s="6">
        <f>K291+O291+S291+W291</f>
        <v/>
      </c>
      <c r="H291" s="6">
        <f>L291+P291+T291+X291</f>
        <v/>
      </c>
      <c r="I291" s="7">
        <f>J291/37</f>
        <v/>
      </c>
      <c r="J291" s="6" t="n">
        <v>33</v>
      </c>
      <c r="K291" s="6" t="n">
        <v>4</v>
      </c>
      <c r="L291" s="6" t="n">
        <v>0</v>
      </c>
      <c r="M291" s="7">
        <f>N291/9</f>
        <v/>
      </c>
      <c r="N291" s="6" t="n">
        <v>8</v>
      </c>
      <c r="O291" s="6" t="n">
        <v>0</v>
      </c>
      <c r="P291" s="6" t="n">
        <v>1</v>
      </c>
      <c r="Q291" s="7">
        <f>R291/11</f>
        <v/>
      </c>
      <c r="R291" s="6" t="n">
        <v>3</v>
      </c>
      <c r="S291" s="6" t="n">
        <v>3</v>
      </c>
      <c r="T291" s="6" t="n">
        <v>5</v>
      </c>
      <c r="U291" s="7">
        <f>V291/14</f>
        <v/>
      </c>
      <c r="V291" s="6" t="n">
        <v>2</v>
      </c>
      <c r="W291" s="6" t="n">
        <v>11</v>
      </c>
      <c r="X291" s="6" t="n">
        <v>1</v>
      </c>
      <c r="Y291" s="8" t="n">
        <v>34.83</v>
      </c>
      <c r="Z291" s="9" t="inlineStr">
        <is>
          <t>Success</t>
        </is>
      </c>
      <c r="AA291" s="2" t="inlineStr">
        <is>
          <t>2026-10-08 20:27:28</t>
        </is>
      </c>
    </row>
    <row r="292" ht="21.95" customHeight="1">
      <c r="A292" s="2" t="n">
        <v>291</v>
      </c>
      <c r="B292" s="31" t="inlineStr">
        <is>
          <t>http://www.broadcastthai.com</t>
        </is>
      </c>
      <c r="C292" s="2" t="inlineStr">
        <is>
          <t>บันเทิง</t>
        </is>
      </c>
      <c r="D292" s="10">
        <f>F292/71</f>
        <v/>
      </c>
      <c r="E292" s="11">
        <f>IF(D292&gt;=0.9,"ดีเยี่ยม",IF(D292&gt;=0.7,"ดี",IF(D292&gt;=0.5,"พอใช้","ต้องปรับปรุง")))</f>
        <v/>
      </c>
      <c r="F292" s="6">
        <f>J292+N292+R292+V292</f>
        <v/>
      </c>
      <c r="G292" s="6">
        <f>K292+O292+S292+W292</f>
        <v/>
      </c>
      <c r="H292" s="6">
        <f>L292+P292+T292+X292</f>
        <v/>
      </c>
      <c r="I292" s="7">
        <f>J292/37</f>
        <v/>
      </c>
      <c r="J292" s="6" t="n">
        <v>34</v>
      </c>
      <c r="K292" s="6" t="n">
        <v>3</v>
      </c>
      <c r="L292" s="6" t="n">
        <v>0</v>
      </c>
      <c r="M292" s="7">
        <f>N292/9</f>
        <v/>
      </c>
      <c r="N292" s="6" t="n">
        <v>8</v>
      </c>
      <c r="O292" s="6" t="n">
        <v>1</v>
      </c>
      <c r="P292" s="6" t="n">
        <v>0</v>
      </c>
      <c r="Q292" s="7">
        <f>R292/11</f>
        <v/>
      </c>
      <c r="R292" s="6" t="n">
        <v>3</v>
      </c>
      <c r="S292" s="6" t="n">
        <v>3</v>
      </c>
      <c r="T292" s="6" t="n">
        <v>5</v>
      </c>
      <c r="U292" s="7">
        <f>V292/14</f>
        <v/>
      </c>
      <c r="V292" s="6" t="n">
        <v>3</v>
      </c>
      <c r="W292" s="6" t="n">
        <v>11</v>
      </c>
      <c r="X292" s="6" t="n">
        <v>0</v>
      </c>
      <c r="Y292" s="8" t="n">
        <v>34.71</v>
      </c>
      <c r="Z292" s="9" t="inlineStr">
        <is>
          <t>Success</t>
        </is>
      </c>
      <c r="AA292" s="2" t="inlineStr">
        <is>
          <t>2026-10-08 20:28:03</t>
        </is>
      </c>
    </row>
    <row r="293" ht="21.95" customHeight="1">
      <c r="A293" s="2" t="n">
        <v>292</v>
      </c>
      <c r="B293" s="31" t="inlineStr">
        <is>
          <t>http://www.makewebeasy.com</t>
        </is>
      </c>
      <c r="C293" s="2" t="inlineStr">
        <is>
          <t>อินเทอร์เน็ต</t>
        </is>
      </c>
      <c r="D293" s="10">
        <f>F293/71</f>
        <v/>
      </c>
      <c r="E293" s="11">
        <f>IF(D293&gt;=0.9,"ดีเยี่ยม",IF(D293&gt;=0.7,"ดี",IF(D293&gt;=0.5,"พอใช้","ต้องปรับปรุง")))</f>
        <v/>
      </c>
      <c r="F293" s="6">
        <f>J293+N293+R293+V293</f>
        <v/>
      </c>
      <c r="G293" s="6">
        <f>K293+O293+S293+W293</f>
        <v/>
      </c>
      <c r="H293" s="6">
        <f>L293+P293+T293+X293</f>
        <v/>
      </c>
      <c r="I293" s="7">
        <f>J293/37</f>
        <v/>
      </c>
      <c r="J293" s="6" t="n">
        <v>28</v>
      </c>
      <c r="K293" s="6" t="n">
        <v>7</v>
      </c>
      <c r="L293" s="6" t="n">
        <v>2</v>
      </c>
      <c r="M293" s="7">
        <f>N293/9</f>
        <v/>
      </c>
      <c r="N293" s="6" t="n">
        <v>8</v>
      </c>
      <c r="O293" s="6" t="n">
        <v>1</v>
      </c>
      <c r="P293" s="6" t="n">
        <v>0</v>
      </c>
      <c r="Q293" s="7">
        <f>R293/11</f>
        <v/>
      </c>
      <c r="R293" s="6" t="n">
        <v>3</v>
      </c>
      <c r="S293" s="6" t="n">
        <v>3</v>
      </c>
      <c r="T293" s="6" t="n">
        <v>5</v>
      </c>
      <c r="U293" s="7">
        <f>V293/14</f>
        <v/>
      </c>
      <c r="V293" s="6" t="n">
        <v>4</v>
      </c>
      <c r="W293" s="6" t="n">
        <v>7</v>
      </c>
      <c r="X293" s="6" t="n">
        <v>3</v>
      </c>
      <c r="Y293" s="8" t="n">
        <v>35.63</v>
      </c>
      <c r="Z293" s="9" t="inlineStr">
        <is>
          <t>Success</t>
        </is>
      </c>
      <c r="AA293" s="2" t="inlineStr">
        <is>
          <t>2026-10-08 20:28:38</t>
        </is>
      </c>
    </row>
    <row r="294" ht="21.95" customHeight="1">
      <c r="A294" s="2" t="n">
        <v>293</v>
      </c>
      <c r="B294" s="31" t="inlineStr">
        <is>
          <t>http://www.toplinediamond.com</t>
        </is>
      </c>
      <c r="C294" s="2" t="inlineStr">
        <is>
          <t>บันเทิง</t>
        </is>
      </c>
      <c r="D294" s="10">
        <f>F294/71</f>
        <v/>
      </c>
      <c r="E294" s="11">
        <f>IF(D294&gt;=0.9,"ดีเยี่ยม",IF(D294&gt;=0.7,"ดี",IF(D294&gt;=0.5,"พอใช้","ต้องปรับปรุง")))</f>
        <v/>
      </c>
      <c r="F294" s="6">
        <f>J294+N294+R294+V294</f>
        <v/>
      </c>
      <c r="G294" s="6">
        <f>K294+O294+S294+W294</f>
        <v/>
      </c>
      <c r="H294" s="6">
        <f>L294+P294+T294+X294</f>
        <v/>
      </c>
      <c r="I294" s="7">
        <f>J294/37</f>
        <v/>
      </c>
      <c r="J294" s="6" t="n">
        <v>34</v>
      </c>
      <c r="K294" s="6" t="n">
        <v>2</v>
      </c>
      <c r="L294" s="6" t="n">
        <v>1</v>
      </c>
      <c r="M294" s="7">
        <f>N294/9</f>
        <v/>
      </c>
      <c r="N294" s="6" t="n">
        <v>7</v>
      </c>
      <c r="O294" s="6" t="n">
        <v>1</v>
      </c>
      <c r="P294" s="6" t="n">
        <v>1</v>
      </c>
      <c r="Q294" s="7">
        <f>R294/11</f>
        <v/>
      </c>
      <c r="R294" s="6" t="n">
        <v>4</v>
      </c>
      <c r="S294" s="6" t="n">
        <v>3</v>
      </c>
      <c r="T294" s="6" t="n">
        <v>4</v>
      </c>
      <c r="U294" s="7">
        <f>V294/14</f>
        <v/>
      </c>
      <c r="V294" s="6" t="n">
        <v>2</v>
      </c>
      <c r="W294" s="6" t="n">
        <v>12</v>
      </c>
      <c r="X294" s="6" t="n">
        <v>0</v>
      </c>
      <c r="Y294" s="8" t="n">
        <v>36.62</v>
      </c>
      <c r="Z294" s="9" t="inlineStr">
        <is>
          <t>Success</t>
        </is>
      </c>
      <c r="AA294" s="2" t="inlineStr">
        <is>
          <t>2026-10-08 20:29:15</t>
        </is>
      </c>
    </row>
    <row r="295" ht="21.95" customHeight="1">
      <c r="A295" s="2" t="n">
        <v>294</v>
      </c>
      <c r="B295" s="31" t="inlineStr">
        <is>
          <t>http://hkmyleaf.com</t>
        </is>
      </c>
      <c r="C295" s="2" t="inlineStr">
        <is>
          <t>ช๊อปปิ้ง</t>
        </is>
      </c>
      <c r="D295" s="10">
        <f>F295/71</f>
        <v/>
      </c>
      <c r="E295" s="11">
        <f>IF(D295&gt;=0.9,"ดีเยี่ยม",IF(D295&gt;=0.7,"ดี",IF(D295&gt;=0.5,"พอใช้","ต้องปรับปรุง")))</f>
        <v/>
      </c>
      <c r="F295" s="6">
        <f>J295+N295+R295+V295</f>
        <v/>
      </c>
      <c r="G295" s="6">
        <f>K295+O295+S295+W295</f>
        <v/>
      </c>
      <c r="H295" s="6">
        <f>L295+P295+T295+X295</f>
        <v/>
      </c>
      <c r="I295" s="7">
        <f>J295/37</f>
        <v/>
      </c>
      <c r="J295" s="6" t="n">
        <v>35</v>
      </c>
      <c r="K295" s="6" t="n">
        <v>2</v>
      </c>
      <c r="L295" s="6" t="n">
        <v>0</v>
      </c>
      <c r="M295" s="7">
        <f>N295/9</f>
        <v/>
      </c>
      <c r="N295" s="6" t="n">
        <v>8</v>
      </c>
      <c r="O295" s="6" t="n">
        <v>1</v>
      </c>
      <c r="P295" s="6" t="n">
        <v>0</v>
      </c>
      <c r="Q295" s="7">
        <f>R295/11</f>
        <v/>
      </c>
      <c r="R295" s="6" t="n">
        <v>3</v>
      </c>
      <c r="S295" s="6" t="n">
        <v>4</v>
      </c>
      <c r="T295" s="6" t="n">
        <v>4</v>
      </c>
      <c r="U295" s="7">
        <f>V295/14</f>
        <v/>
      </c>
      <c r="V295" s="6" t="n">
        <v>1</v>
      </c>
      <c r="W295" s="6" t="n">
        <v>13</v>
      </c>
      <c r="X295" s="6" t="n">
        <v>0</v>
      </c>
      <c r="Y295" s="8" t="n">
        <v>32.85</v>
      </c>
      <c r="Z295" s="9" t="inlineStr">
        <is>
          <t>Success</t>
        </is>
      </c>
      <c r="AA295" s="2" t="inlineStr">
        <is>
          <t>2026-10-08 20:29:48</t>
        </is>
      </c>
    </row>
    <row r="296" ht="21.95" customHeight="1">
      <c r="A296" s="2" t="n">
        <v>295</v>
      </c>
      <c r="B296" s="31" t="inlineStr">
        <is>
          <t>http://www.thaifitway.com</t>
        </is>
      </c>
      <c r="C296" s="2" t="inlineStr">
        <is>
          <t>สุขภาพ</t>
        </is>
      </c>
      <c r="D296" s="10">
        <f>F296/71</f>
        <v/>
      </c>
      <c r="E296" s="11">
        <f>IF(D296&gt;=0.9,"ดีเยี่ยม",IF(D296&gt;=0.7,"ดี",IF(D296&gt;=0.5,"พอใช้","ต้องปรับปรุง")))</f>
        <v/>
      </c>
      <c r="F296" s="6">
        <f>J296+N296+R296+V296</f>
        <v/>
      </c>
      <c r="G296" s="6">
        <f>K296+O296+S296+W296</f>
        <v/>
      </c>
      <c r="H296" s="6">
        <f>L296+P296+T296+X296</f>
        <v/>
      </c>
      <c r="I296" s="7">
        <f>J296/37</f>
        <v/>
      </c>
      <c r="J296" s="6" t="n">
        <v>35</v>
      </c>
      <c r="K296" s="6" t="n">
        <v>2</v>
      </c>
      <c r="L296" s="6" t="n">
        <v>0</v>
      </c>
      <c r="M296" s="7">
        <f>N296/9</f>
        <v/>
      </c>
      <c r="N296" s="6" t="n">
        <v>9</v>
      </c>
      <c r="O296" s="6" t="n">
        <v>0</v>
      </c>
      <c r="P296" s="6" t="n">
        <v>0</v>
      </c>
      <c r="Q296" s="7">
        <f>R296/11</f>
        <v/>
      </c>
      <c r="R296" s="6" t="n">
        <v>0</v>
      </c>
      <c r="S296" s="6" t="n">
        <v>4</v>
      </c>
      <c r="T296" s="6" t="n">
        <v>7</v>
      </c>
      <c r="U296" s="7">
        <f>V296/14</f>
        <v/>
      </c>
      <c r="V296" s="6" t="n">
        <v>2</v>
      </c>
      <c r="W296" s="6" t="n">
        <v>12</v>
      </c>
      <c r="X296" s="6" t="n">
        <v>0</v>
      </c>
      <c r="Y296" s="8" t="n">
        <v>51.04</v>
      </c>
      <c r="Z296" s="9" t="inlineStr">
        <is>
          <t>Success</t>
        </is>
      </c>
      <c r="AA296" s="2" t="inlineStr">
        <is>
          <t>2026-10-08 20:30:39</t>
        </is>
      </c>
    </row>
    <row r="297" ht="21.95" customHeight="1">
      <c r="A297" s="2" t="n">
        <v>296</v>
      </c>
      <c r="B297" s="31" t="inlineStr">
        <is>
          <t>http://www.chemtrack.org</t>
        </is>
      </c>
      <c r="C297" s="2" t="inlineStr">
        <is>
          <t>การศึกษา</t>
        </is>
      </c>
      <c r="D297" s="10">
        <f>F297/71</f>
        <v/>
      </c>
      <c r="E297" s="11">
        <f>IF(D297&gt;=0.9,"ดีเยี่ยม",IF(D297&gt;=0.7,"ดี",IF(D297&gt;=0.5,"พอใช้","ต้องปรับปรุง")))</f>
        <v/>
      </c>
      <c r="F297" s="6">
        <f>J297+N297+R297+V297</f>
        <v/>
      </c>
      <c r="G297" s="6">
        <f>K297+O297+S297+W297</f>
        <v/>
      </c>
      <c r="H297" s="6">
        <f>L297+P297+T297+X297</f>
        <v/>
      </c>
      <c r="I297" s="7">
        <f>J297/37</f>
        <v/>
      </c>
      <c r="J297" s="6" t="n">
        <v>32</v>
      </c>
      <c r="K297" s="6" t="n">
        <v>4</v>
      </c>
      <c r="L297" s="6" t="n">
        <v>1</v>
      </c>
      <c r="M297" s="7">
        <f>N297/9</f>
        <v/>
      </c>
      <c r="N297" s="6" t="n">
        <v>7</v>
      </c>
      <c r="O297" s="6" t="n">
        <v>2</v>
      </c>
      <c r="P297" s="6" t="n">
        <v>0</v>
      </c>
      <c r="Q297" s="7">
        <f>R297/11</f>
        <v/>
      </c>
      <c r="R297" s="6" t="n">
        <v>4</v>
      </c>
      <c r="S297" s="6" t="n">
        <v>4</v>
      </c>
      <c r="T297" s="6" t="n">
        <v>3</v>
      </c>
      <c r="U297" s="7">
        <f>V297/14</f>
        <v/>
      </c>
      <c r="V297" s="6" t="n">
        <v>1</v>
      </c>
      <c r="W297" s="6" t="n">
        <v>12</v>
      </c>
      <c r="X297" s="6" t="n">
        <v>1</v>
      </c>
      <c r="Y297" s="8" t="n">
        <v>32.9</v>
      </c>
      <c r="Z297" s="9" t="inlineStr">
        <is>
          <t>Success</t>
        </is>
      </c>
      <c r="AA297" s="2" t="inlineStr">
        <is>
          <t>2026-10-08 20:31:12</t>
        </is>
      </c>
    </row>
    <row r="298" ht="21.95" customHeight="1">
      <c r="A298" s="2" t="n">
        <v>297</v>
      </c>
      <c r="B298" s="31" t="inlineStr">
        <is>
          <t>http://www.thaibadminton.com</t>
        </is>
      </c>
      <c r="C298" s="2" t="inlineStr">
        <is>
          <t>กีฬา</t>
        </is>
      </c>
      <c r="D298" s="10">
        <f>F298/71</f>
        <v/>
      </c>
      <c r="E298" s="11">
        <f>IF(D298&gt;=0.9,"ดีเยี่ยม",IF(D298&gt;=0.7,"ดี",IF(D298&gt;=0.5,"พอใช้","ต้องปรับปรุง")))</f>
        <v/>
      </c>
      <c r="F298" s="6">
        <f>J298+N298+R298+V298</f>
        <v/>
      </c>
      <c r="G298" s="6">
        <f>K298+O298+S298+W298</f>
        <v/>
      </c>
      <c r="H298" s="6">
        <f>L298+P298+T298+X298</f>
        <v/>
      </c>
      <c r="I298" s="7">
        <f>J298/37</f>
        <v/>
      </c>
      <c r="J298" s="6" t="n">
        <v>34</v>
      </c>
      <c r="K298" s="6" t="n">
        <v>2</v>
      </c>
      <c r="L298" s="6" t="n">
        <v>1</v>
      </c>
      <c r="M298" s="7">
        <f>N298/9</f>
        <v/>
      </c>
      <c r="N298" s="6" t="n">
        <v>7</v>
      </c>
      <c r="O298" s="6" t="n">
        <v>1</v>
      </c>
      <c r="P298" s="6" t="n">
        <v>1</v>
      </c>
      <c r="Q298" s="7">
        <f>R298/11</f>
        <v/>
      </c>
      <c r="R298" s="6" t="n">
        <v>4</v>
      </c>
      <c r="S298" s="6" t="n">
        <v>3</v>
      </c>
      <c r="T298" s="6" t="n">
        <v>4</v>
      </c>
      <c r="U298" s="7">
        <f>V298/14</f>
        <v/>
      </c>
      <c r="V298" s="6" t="n">
        <v>2</v>
      </c>
      <c r="W298" s="6" t="n">
        <v>12</v>
      </c>
      <c r="X298" s="6" t="n">
        <v>0</v>
      </c>
      <c r="Y298" s="8" t="n">
        <v>17.18</v>
      </c>
      <c r="Z298" s="9" t="inlineStr">
        <is>
          <t>Success</t>
        </is>
      </c>
      <c r="AA298" s="2" t="inlineStr">
        <is>
          <t>2026-10-08 20:31:29</t>
        </is>
      </c>
    </row>
    <row r="299" ht="21.95" customHeight="1">
      <c r="A299" s="2" t="n">
        <v>298</v>
      </c>
      <c r="B299" s="31" t="inlineStr">
        <is>
          <t>http://www.goldenliving.co.th</t>
        </is>
      </c>
      <c r="C299" s="2" t="inlineStr">
        <is>
          <t>อสังหาริมทรัพย์-ก่อสร้าง</t>
        </is>
      </c>
      <c r="D299" s="10">
        <f>F299/71</f>
        <v/>
      </c>
      <c r="E299" s="11">
        <f>IF(D299&gt;=0.9,"ดีเยี่ยม",IF(D299&gt;=0.7,"ดี",IF(D299&gt;=0.5,"พอใช้","ต้องปรับปรุง")))</f>
        <v/>
      </c>
      <c r="F299" s="6">
        <f>J299+N299+R299+V299</f>
        <v/>
      </c>
      <c r="G299" s="6">
        <f>K299+O299+S299+W299</f>
        <v/>
      </c>
      <c r="H299" s="6">
        <f>L299+P299+T299+X299</f>
        <v/>
      </c>
      <c r="I299" s="7">
        <f>J299/37</f>
        <v/>
      </c>
      <c r="J299" s="6" t="n">
        <v>32</v>
      </c>
      <c r="K299" s="6" t="n">
        <v>3</v>
      </c>
      <c r="L299" s="6" t="n">
        <v>2</v>
      </c>
      <c r="M299" s="7">
        <f>N299/9</f>
        <v/>
      </c>
      <c r="N299" s="6" t="n">
        <v>7</v>
      </c>
      <c r="O299" s="6" t="n">
        <v>1</v>
      </c>
      <c r="P299" s="6" t="n">
        <v>1</v>
      </c>
      <c r="Q299" s="7">
        <f>R299/11</f>
        <v/>
      </c>
      <c r="R299" s="6" t="n">
        <v>3</v>
      </c>
      <c r="S299" s="6" t="n">
        <v>4</v>
      </c>
      <c r="T299" s="6" t="n">
        <v>4</v>
      </c>
      <c r="U299" s="7">
        <f>V299/14</f>
        <v/>
      </c>
      <c r="V299" s="6" t="n">
        <v>2</v>
      </c>
      <c r="W299" s="6" t="n">
        <v>12</v>
      </c>
      <c r="X299" s="6" t="n">
        <v>0</v>
      </c>
      <c r="Y299" s="8" t="n">
        <v>16.05</v>
      </c>
      <c r="Z299" s="9" t="inlineStr">
        <is>
          <t>Success</t>
        </is>
      </c>
      <c r="AA299" s="2" t="inlineStr">
        <is>
          <t>2026-10-08 20:31:45</t>
        </is>
      </c>
    </row>
    <row r="300" ht="21.95" customHeight="1">
      <c r="A300" s="2" t="n">
        <v>299</v>
      </c>
      <c r="B300" s="31" t="inlineStr">
        <is>
          <t>http://www.archeep.com</t>
        </is>
      </c>
      <c r="C300" s="2" t="inlineStr">
        <is>
          <t>ธุรกิจ</t>
        </is>
      </c>
      <c r="D300" s="25">
        <f>F300/71</f>
        <v/>
      </c>
      <c r="E300" s="26">
        <f>IF(D300&gt;=0.9,"ดีเยี่ยม",IF(D300&gt;=0.7,"ดี",IF(D300&gt;=0.5,"พอใช้","ต้องปรับปรุง")))</f>
        <v/>
      </c>
      <c r="F300" s="6">
        <f>J300+N300+R300+V300</f>
        <v/>
      </c>
      <c r="G300" s="6">
        <f>K300+O300+S300+W300</f>
        <v/>
      </c>
      <c r="H300" s="6">
        <f>L300+P300+T300+X300</f>
        <v/>
      </c>
      <c r="I300" s="7">
        <f>J300/37</f>
        <v/>
      </c>
      <c r="J300" s="6" t="n">
        <v>0</v>
      </c>
      <c r="K300" s="6" t="n">
        <v>37</v>
      </c>
      <c r="L300" s="6" t="n">
        <v>0</v>
      </c>
      <c r="M300" s="7">
        <f>N300/9</f>
        <v/>
      </c>
      <c r="N300" s="6" t="n">
        <v>0</v>
      </c>
      <c r="O300" s="6" t="n">
        <v>9</v>
      </c>
      <c r="P300" s="6" t="n">
        <v>0</v>
      </c>
      <c r="Q300" s="7">
        <f>R300/11</f>
        <v/>
      </c>
      <c r="R300" s="6" t="n">
        <v>0</v>
      </c>
      <c r="S300" s="6" t="n">
        <v>11</v>
      </c>
      <c r="T300" s="6" t="n">
        <v>0</v>
      </c>
      <c r="U300" s="7">
        <f>V300/14</f>
        <v/>
      </c>
      <c r="V300" s="6" t="n">
        <v>0</v>
      </c>
      <c r="W300" s="6" t="n">
        <v>14</v>
      </c>
      <c r="X300" s="6" t="n">
        <v>0</v>
      </c>
      <c r="Y300" s="8" t="n">
        <v>0.34</v>
      </c>
      <c r="Z300" s="27" t="inlineStr">
        <is>
          <t>Failed (DNS Error (หาเว็บไม่เจอ))</t>
        </is>
      </c>
      <c r="AA300" s="2" t="inlineStr">
        <is>
          <t>2026-10-21 00:13:37</t>
        </is>
      </c>
    </row>
    <row r="301" ht="21.95" customHeight="1">
      <c r="A301" s="2" t="n">
        <v>300</v>
      </c>
      <c r="B301" s="31" t="inlineStr">
        <is>
          <t>http://www.taradthong.com</t>
        </is>
      </c>
      <c r="C301" s="2" t="inlineStr">
        <is>
          <t>ธนาคาร-การเงิน</t>
        </is>
      </c>
      <c r="D301" s="10">
        <f>F301/71</f>
        <v/>
      </c>
      <c r="E301" s="11">
        <f>IF(D301&gt;=0.9,"ดีเยี่ยม",IF(D301&gt;=0.7,"ดี",IF(D301&gt;=0.5,"พอใช้","ต้องปรับปรุง")))</f>
        <v/>
      </c>
      <c r="F301" s="6">
        <f>J301+N301+R301+V301</f>
        <v/>
      </c>
      <c r="G301" s="6">
        <f>K301+O301+S301+W301</f>
        <v/>
      </c>
      <c r="H301" s="6">
        <f>L301+P301+T301+X301</f>
        <v/>
      </c>
      <c r="I301" s="7">
        <f>J301/37</f>
        <v/>
      </c>
      <c r="J301" s="6" t="n">
        <v>30</v>
      </c>
      <c r="K301" s="6" t="n">
        <v>7</v>
      </c>
      <c r="L301" s="6" t="n">
        <v>0</v>
      </c>
      <c r="M301" s="7">
        <f>N301/9</f>
        <v/>
      </c>
      <c r="N301" s="6" t="n">
        <v>8</v>
      </c>
      <c r="O301" s="6" t="n">
        <v>1</v>
      </c>
      <c r="P301" s="6" t="n">
        <v>0</v>
      </c>
      <c r="Q301" s="7">
        <f>R301/11</f>
        <v/>
      </c>
      <c r="R301" s="6" t="n">
        <v>2</v>
      </c>
      <c r="S301" s="6" t="n">
        <v>4</v>
      </c>
      <c r="T301" s="6" t="n">
        <v>5</v>
      </c>
      <c r="U301" s="7">
        <f>V301/14</f>
        <v/>
      </c>
      <c r="V301" s="6" t="n">
        <v>3</v>
      </c>
      <c r="W301" s="6" t="n">
        <v>11</v>
      </c>
      <c r="X301" s="6" t="n">
        <v>0</v>
      </c>
      <c r="Y301" s="8" t="n">
        <v>35.02</v>
      </c>
      <c r="Z301" s="9" t="inlineStr">
        <is>
          <t>Success</t>
        </is>
      </c>
      <c r="AA301" s="2" t="inlineStr">
        <is>
          <t>2026-10-08 20:33:18</t>
        </is>
      </c>
    </row>
    <row r="302" ht="21.95" customHeight="1">
      <c r="A302" s="2" t="n">
        <v>301</v>
      </c>
      <c r="B302" s="31" t="inlineStr">
        <is>
          <t>http://www.pcd.go.th</t>
        </is>
      </c>
      <c r="C302" s="2" t="inlineStr">
        <is>
          <t>หน่วยงานราชการ,องค์กร</t>
        </is>
      </c>
      <c r="D302" s="10">
        <f>F302/71</f>
        <v/>
      </c>
      <c r="E302" s="11">
        <f>IF(D302&gt;=0.9,"ดีเยี่ยม",IF(D302&gt;=0.7,"ดี",IF(D302&gt;=0.5,"พอใช้","ต้องปรับปรุง")))</f>
        <v/>
      </c>
      <c r="F302" s="6">
        <f>J302+N302+R302+V302</f>
        <v/>
      </c>
      <c r="G302" s="6">
        <f>K302+O302+S302+W302</f>
        <v/>
      </c>
      <c r="H302" s="6">
        <f>L302+P302+T302+X302</f>
        <v/>
      </c>
      <c r="I302" s="7">
        <f>J302/37</f>
        <v/>
      </c>
      <c r="J302" s="6" t="n">
        <v>29</v>
      </c>
      <c r="K302" s="6" t="n">
        <v>8</v>
      </c>
      <c r="L302" s="6" t="n">
        <v>0</v>
      </c>
      <c r="M302" s="7">
        <f>N302/9</f>
        <v/>
      </c>
      <c r="N302" s="6" t="n">
        <v>8</v>
      </c>
      <c r="O302" s="6" t="n">
        <v>1</v>
      </c>
      <c r="P302" s="6" t="n">
        <v>0</v>
      </c>
      <c r="Q302" s="7">
        <f>R302/11</f>
        <v/>
      </c>
      <c r="R302" s="6" t="n">
        <v>3</v>
      </c>
      <c r="S302" s="6" t="n">
        <v>3</v>
      </c>
      <c r="T302" s="6" t="n">
        <v>5</v>
      </c>
      <c r="U302" s="7">
        <f>V302/14</f>
        <v/>
      </c>
      <c r="V302" s="6" t="n">
        <v>2</v>
      </c>
      <c r="W302" s="6" t="n">
        <v>12</v>
      </c>
      <c r="X302" s="6" t="n">
        <v>0</v>
      </c>
      <c r="Y302" s="8" t="n">
        <v>42.59</v>
      </c>
      <c r="Z302" s="9" t="inlineStr">
        <is>
          <t>Success</t>
        </is>
      </c>
      <c r="AA302" s="2" t="inlineStr">
        <is>
          <t>2026-10-08 20:34:00</t>
        </is>
      </c>
    </row>
    <row r="303" ht="21.95" customHeight="1">
      <c r="A303" s="2" t="n">
        <v>302</v>
      </c>
      <c r="B303" s="31" t="inlineStr">
        <is>
          <t>http://www.baanraiingdoi.net</t>
        </is>
      </c>
      <c r="C303" s="2" t="inlineStr">
        <is>
          <t>ท่องเที่ยว</t>
        </is>
      </c>
      <c r="D303" s="10">
        <f>F303/71</f>
        <v/>
      </c>
      <c r="E303" s="11">
        <f>IF(D303&gt;=0.9,"ดีเยี่ยม",IF(D303&gt;=0.7,"ดี",IF(D303&gt;=0.5,"พอใช้","ต้องปรับปรุง")))</f>
        <v/>
      </c>
      <c r="F303" s="6">
        <f>J303+N303+R303+V303</f>
        <v/>
      </c>
      <c r="G303" s="6">
        <f>K303+O303+S303+W303</f>
        <v/>
      </c>
      <c r="H303" s="6">
        <f>L303+P303+T303+X303</f>
        <v/>
      </c>
      <c r="I303" s="7">
        <f>J303/37</f>
        <v/>
      </c>
      <c r="J303" s="6" t="n">
        <v>31</v>
      </c>
      <c r="K303" s="6" t="n">
        <v>5</v>
      </c>
      <c r="L303" s="6" t="n">
        <v>1</v>
      </c>
      <c r="M303" s="7">
        <f>N303/9</f>
        <v/>
      </c>
      <c r="N303" s="6" t="n">
        <v>7</v>
      </c>
      <c r="O303" s="6" t="n">
        <v>2</v>
      </c>
      <c r="P303" s="6" t="n">
        <v>0</v>
      </c>
      <c r="Q303" s="7">
        <f>R303/11</f>
        <v/>
      </c>
      <c r="R303" s="6" t="n">
        <v>1</v>
      </c>
      <c r="S303" s="6" t="n">
        <v>3</v>
      </c>
      <c r="T303" s="6" t="n">
        <v>7</v>
      </c>
      <c r="U303" s="7">
        <f>V303/14</f>
        <v/>
      </c>
      <c r="V303" s="6" t="n">
        <v>2</v>
      </c>
      <c r="W303" s="6" t="n">
        <v>12</v>
      </c>
      <c r="X303" s="6" t="n">
        <v>0</v>
      </c>
      <c r="Y303" s="8" t="n">
        <v>34.48</v>
      </c>
      <c r="Z303" s="9" t="inlineStr">
        <is>
          <t>Success</t>
        </is>
      </c>
      <c r="AA303" s="2" t="inlineStr">
        <is>
          <t>2026-10-08 20:34:35</t>
        </is>
      </c>
    </row>
    <row r="304" ht="21.95" customHeight="1">
      <c r="A304" s="2" t="n">
        <v>303</v>
      </c>
      <c r="B304" s="31" t="inlineStr">
        <is>
          <t>http://www.thaihoon.com</t>
        </is>
      </c>
      <c r="C304" s="2" t="inlineStr">
        <is>
          <t>ธนาคาร-การเงิน</t>
        </is>
      </c>
      <c r="D304" s="25">
        <f>F304/71</f>
        <v/>
      </c>
      <c r="E304" s="26">
        <f>IF(D304&gt;=0.9,"ดีเยี่ยม",IF(D304&gt;=0.7,"ดี",IF(D304&gt;=0.5,"พอใช้","ต้องปรับปรุง")))</f>
        <v/>
      </c>
      <c r="F304" s="6">
        <f>J304+N304+R304+V304</f>
        <v/>
      </c>
      <c r="G304" s="6">
        <f>K304+O304+S304+W304</f>
        <v/>
      </c>
      <c r="H304" s="6">
        <f>L304+P304+T304+X304</f>
        <v/>
      </c>
      <c r="I304" s="7">
        <f>J304/37</f>
        <v/>
      </c>
      <c r="J304" s="6" t="n">
        <v>0</v>
      </c>
      <c r="K304" s="6" t="n">
        <v>37</v>
      </c>
      <c r="L304" s="6" t="n">
        <v>0</v>
      </c>
      <c r="M304" s="7">
        <f>N304/9</f>
        <v/>
      </c>
      <c r="N304" s="6" t="n">
        <v>0</v>
      </c>
      <c r="O304" s="6" t="n">
        <v>9</v>
      </c>
      <c r="P304" s="6" t="n">
        <v>0</v>
      </c>
      <c r="Q304" s="7">
        <f>R304/11</f>
        <v/>
      </c>
      <c r="R304" s="6" t="n">
        <v>0</v>
      </c>
      <c r="S304" s="6" t="n">
        <v>11</v>
      </c>
      <c r="T304" s="6" t="n">
        <v>0</v>
      </c>
      <c r="U304" s="7">
        <f>V304/14</f>
        <v/>
      </c>
      <c r="V304" s="6" t="n">
        <v>0</v>
      </c>
      <c r="W304" s="6" t="n">
        <v>14</v>
      </c>
      <c r="X304" s="6" t="n">
        <v>0</v>
      </c>
      <c r="Y304" s="8" t="n">
        <v>0.17</v>
      </c>
      <c r="Z304" s="27" t="inlineStr">
        <is>
          <t>Failed (โดนบล็อก / เข้าถึงไม่ได้ (HTTP 403))</t>
        </is>
      </c>
      <c r="AA304" s="2" t="inlineStr">
        <is>
          <t>2026-10-21 00:13:37</t>
        </is>
      </c>
    </row>
    <row r="305" ht="21.95" customHeight="1">
      <c r="A305" s="2" t="n">
        <v>304</v>
      </c>
      <c r="B305" s="31" t="inlineStr">
        <is>
          <t>http://www.ntep2008.com</t>
        </is>
      </c>
      <c r="C305" s="2" t="inlineStr">
        <is>
          <t>ยานยนต์</t>
        </is>
      </c>
      <c r="D305" s="10">
        <f>F305/71</f>
        <v/>
      </c>
      <c r="E305" s="11">
        <f>IF(D305&gt;=0.9,"ดีเยี่ยม",IF(D305&gt;=0.7,"ดี",IF(D305&gt;=0.5,"พอใช้","ต้องปรับปรุง")))</f>
        <v/>
      </c>
      <c r="F305" s="6">
        <f>J305+N305+R305+V305</f>
        <v/>
      </c>
      <c r="G305" s="6">
        <f>K305+O305+S305+W305</f>
        <v/>
      </c>
      <c r="H305" s="6">
        <f>L305+P305+T305+X305</f>
        <v/>
      </c>
      <c r="I305" s="7">
        <f>J305/37</f>
        <v/>
      </c>
      <c r="J305" s="6" t="n">
        <v>33</v>
      </c>
      <c r="K305" s="6" t="n">
        <v>4</v>
      </c>
      <c r="L305" s="6" t="n">
        <v>0</v>
      </c>
      <c r="M305" s="7">
        <f>N305/9</f>
        <v/>
      </c>
      <c r="N305" s="6" t="n">
        <v>8</v>
      </c>
      <c r="O305" s="6" t="n">
        <v>1</v>
      </c>
      <c r="P305" s="6" t="n">
        <v>0</v>
      </c>
      <c r="Q305" s="7">
        <f>R305/11</f>
        <v/>
      </c>
      <c r="R305" s="6" t="n">
        <v>2</v>
      </c>
      <c r="S305" s="6" t="n">
        <v>4</v>
      </c>
      <c r="T305" s="6" t="n">
        <v>5</v>
      </c>
      <c r="U305" s="7">
        <f>V305/14</f>
        <v/>
      </c>
      <c r="V305" s="6" t="n">
        <v>2</v>
      </c>
      <c r="W305" s="6" t="n">
        <v>12</v>
      </c>
      <c r="X305" s="6" t="n">
        <v>0</v>
      </c>
      <c r="Y305" s="8" t="n">
        <v>44.87</v>
      </c>
      <c r="Z305" s="9" t="inlineStr">
        <is>
          <t>Success</t>
        </is>
      </c>
      <c r="AA305" s="2" t="inlineStr">
        <is>
          <t>2026-10-08 20:36:20</t>
        </is>
      </c>
    </row>
    <row r="306" ht="21.95" customHeight="1">
      <c r="A306" s="2" t="n">
        <v>305</v>
      </c>
      <c r="B306" s="31" t="inlineStr">
        <is>
          <t>http://www.gotomanager.com</t>
        </is>
      </c>
      <c r="C306" s="2" t="inlineStr">
        <is>
          <t>ข่าว-สื่อ</t>
        </is>
      </c>
      <c r="D306" s="4">
        <f>F306/71</f>
        <v/>
      </c>
      <c r="E306" s="5">
        <f>IF(D306&gt;=0.9,"ดีเยี่ยม",IF(D306&gt;=0.7,"ดี",IF(D306&gt;=0.5,"พอใช้","ต้องปรับปรุง")))</f>
        <v/>
      </c>
      <c r="F306" s="6">
        <f>J306+N306+R306+V306</f>
        <v/>
      </c>
      <c r="G306" s="6">
        <f>K306+O306+S306+W306</f>
        <v/>
      </c>
      <c r="H306" s="6">
        <f>L306+P306+T306+X306</f>
        <v/>
      </c>
      <c r="I306" s="7">
        <f>J306/37</f>
        <v/>
      </c>
      <c r="J306" s="6" t="n">
        <v>36</v>
      </c>
      <c r="K306" s="6" t="n">
        <v>1</v>
      </c>
      <c r="L306" s="6" t="n">
        <v>0</v>
      </c>
      <c r="M306" s="7">
        <f>N306/9</f>
        <v/>
      </c>
      <c r="N306" s="6" t="n">
        <v>8</v>
      </c>
      <c r="O306" s="6" t="n">
        <v>0</v>
      </c>
      <c r="P306" s="6" t="n">
        <v>1</v>
      </c>
      <c r="Q306" s="7">
        <f>R306/11</f>
        <v/>
      </c>
      <c r="R306" s="6" t="n">
        <v>5</v>
      </c>
      <c r="S306" s="6" t="n">
        <v>3</v>
      </c>
      <c r="T306" s="6" t="n">
        <v>3</v>
      </c>
      <c r="U306" s="7">
        <f>V306/14</f>
        <v/>
      </c>
      <c r="V306" s="6" t="n">
        <v>2</v>
      </c>
      <c r="W306" s="6" t="n">
        <v>11</v>
      </c>
      <c r="X306" s="6" t="n">
        <v>1</v>
      </c>
      <c r="Y306" s="8" t="n">
        <v>38.7</v>
      </c>
      <c r="Z306" s="9" t="inlineStr">
        <is>
          <t>Success</t>
        </is>
      </c>
      <c r="AA306" s="2" t="inlineStr">
        <is>
          <t>2026-10-08 20:36:59</t>
        </is>
      </c>
    </row>
    <row r="307" ht="21.95" customHeight="1">
      <c r="A307" s="2" t="n">
        <v>306</v>
      </c>
      <c r="B307" s="31" t="inlineStr">
        <is>
          <t>http://www.roytawan.com</t>
        </is>
      </c>
      <c r="C307" s="2" t="inlineStr">
        <is>
          <t>ธุรกิจ</t>
        </is>
      </c>
      <c r="D307" s="4">
        <f>F307/71</f>
        <v/>
      </c>
      <c r="E307" s="5">
        <f>IF(D307&gt;=0.9,"ดีเยี่ยม",IF(D307&gt;=0.7,"ดี",IF(D307&gt;=0.5,"พอใช้","ต้องปรับปรุง")))</f>
        <v/>
      </c>
      <c r="F307" s="6">
        <f>J307+N307+R307+V307</f>
        <v/>
      </c>
      <c r="G307" s="6">
        <f>K307+O307+S307+W307</f>
        <v/>
      </c>
      <c r="H307" s="6">
        <f>L307+P307+T307+X307</f>
        <v/>
      </c>
      <c r="I307" s="7">
        <f>J307/37</f>
        <v/>
      </c>
      <c r="J307" s="6" t="n">
        <v>35</v>
      </c>
      <c r="K307" s="6" t="n">
        <v>1</v>
      </c>
      <c r="L307" s="6" t="n">
        <v>1</v>
      </c>
      <c r="M307" s="7">
        <f>N307/9</f>
        <v/>
      </c>
      <c r="N307" s="6" t="n">
        <v>9</v>
      </c>
      <c r="O307" s="6" t="n">
        <v>0</v>
      </c>
      <c r="P307" s="6" t="n">
        <v>0</v>
      </c>
      <c r="Q307" s="7">
        <f>R307/11</f>
        <v/>
      </c>
      <c r="R307" s="6" t="n">
        <v>5</v>
      </c>
      <c r="S307" s="6" t="n">
        <v>3</v>
      </c>
      <c r="T307" s="6" t="n">
        <v>3</v>
      </c>
      <c r="U307" s="7">
        <f>V307/14</f>
        <v/>
      </c>
      <c r="V307" s="6" t="n">
        <v>2</v>
      </c>
      <c r="W307" s="6" t="n">
        <v>12</v>
      </c>
      <c r="X307" s="6" t="n">
        <v>0</v>
      </c>
      <c r="Y307" s="8" t="n">
        <v>37.69</v>
      </c>
      <c r="Z307" s="9" t="inlineStr">
        <is>
          <t>Success</t>
        </is>
      </c>
      <c r="AA307" s="2" t="inlineStr">
        <is>
          <t>2026-10-08 20:37:37</t>
        </is>
      </c>
    </row>
    <row r="308" ht="21.95" customHeight="1">
      <c r="A308" s="2" t="n">
        <v>307</v>
      </c>
      <c r="B308" s="31" t="inlineStr">
        <is>
          <t>http://witty.co.th</t>
        </is>
      </c>
      <c r="C308" s="2" t="inlineStr">
        <is>
          <t>ช๊อปปิ้ง</t>
        </is>
      </c>
      <c r="D308" s="10">
        <f>F308/71</f>
        <v/>
      </c>
      <c r="E308" s="11">
        <f>IF(D308&gt;=0.9,"ดีเยี่ยม",IF(D308&gt;=0.7,"ดี",IF(D308&gt;=0.5,"พอใช้","ต้องปรับปรุง")))</f>
        <v/>
      </c>
      <c r="F308" s="6">
        <f>J308+N308+R308+V308</f>
        <v/>
      </c>
      <c r="G308" s="6">
        <f>K308+O308+S308+W308</f>
        <v/>
      </c>
      <c r="H308" s="6">
        <f>L308+P308+T308+X308</f>
        <v/>
      </c>
      <c r="I308" s="7">
        <f>J308/37</f>
        <v/>
      </c>
      <c r="J308" s="6" t="n">
        <v>32</v>
      </c>
      <c r="K308" s="6" t="n">
        <v>5</v>
      </c>
      <c r="L308" s="6" t="n">
        <v>0</v>
      </c>
      <c r="M308" s="7">
        <f>N308/9</f>
        <v/>
      </c>
      <c r="N308" s="6" t="n">
        <v>6</v>
      </c>
      <c r="O308" s="6" t="n">
        <v>1</v>
      </c>
      <c r="P308" s="6" t="n">
        <v>2</v>
      </c>
      <c r="Q308" s="7">
        <f>R308/11</f>
        <v/>
      </c>
      <c r="R308" s="6" t="n">
        <v>3</v>
      </c>
      <c r="S308" s="6" t="n">
        <v>3</v>
      </c>
      <c r="T308" s="6" t="n">
        <v>5</v>
      </c>
      <c r="U308" s="7">
        <f>V308/14</f>
        <v/>
      </c>
      <c r="V308" s="6" t="n">
        <v>3</v>
      </c>
      <c r="W308" s="6" t="n">
        <v>11</v>
      </c>
      <c r="X308" s="6" t="n">
        <v>0</v>
      </c>
      <c r="Y308" s="8" t="n">
        <v>35.52</v>
      </c>
      <c r="Z308" s="9" t="inlineStr">
        <is>
          <t>Success</t>
        </is>
      </c>
      <c r="AA308" s="2" t="inlineStr">
        <is>
          <t>2026-10-08 20:38:12</t>
        </is>
      </c>
    </row>
    <row r="309" ht="21.95" customHeight="1">
      <c r="A309" s="2" t="n">
        <v>308</v>
      </c>
      <c r="B309" s="31" t="inlineStr">
        <is>
          <t>http://www.riannok.com</t>
        </is>
      </c>
      <c r="C309" s="2" t="inlineStr">
        <is>
          <t>การศึกษา</t>
        </is>
      </c>
      <c r="D309" s="25">
        <f>F309/71</f>
        <v/>
      </c>
      <c r="E309" s="26">
        <f>IF(D309&gt;=0.9,"ดีเยี่ยม",IF(D309&gt;=0.7,"ดี",IF(D309&gt;=0.5,"พอใช้","ต้องปรับปรุง")))</f>
        <v/>
      </c>
      <c r="F309" s="6">
        <f>J309+N309+R309+V309</f>
        <v/>
      </c>
      <c r="G309" s="6">
        <f>K309+O309+S309+W309</f>
        <v/>
      </c>
      <c r="H309" s="6">
        <f>L309+P309+T309+X309</f>
        <v/>
      </c>
      <c r="I309" s="7">
        <f>J309/37</f>
        <v/>
      </c>
      <c r="J309" s="6" t="n">
        <v>0</v>
      </c>
      <c r="K309" s="6" t="n">
        <v>37</v>
      </c>
      <c r="L309" s="6" t="n">
        <v>0</v>
      </c>
      <c r="M309" s="7">
        <f>N309/9</f>
        <v/>
      </c>
      <c r="N309" s="6" t="n">
        <v>0</v>
      </c>
      <c r="O309" s="6" t="n">
        <v>9</v>
      </c>
      <c r="P309" s="6" t="n">
        <v>0</v>
      </c>
      <c r="Q309" s="7">
        <f>R309/11</f>
        <v/>
      </c>
      <c r="R309" s="6" t="n">
        <v>0</v>
      </c>
      <c r="S309" s="6" t="n">
        <v>11</v>
      </c>
      <c r="T309" s="6" t="n">
        <v>0</v>
      </c>
      <c r="U309" s="7">
        <f>V309/14</f>
        <v/>
      </c>
      <c r="V309" s="6" t="n">
        <v>0</v>
      </c>
      <c r="W309" s="6" t="n">
        <v>14</v>
      </c>
      <c r="X309" s="6" t="n">
        <v>0</v>
      </c>
      <c r="Y309" s="8" t="n">
        <v>0.07000000000000001</v>
      </c>
      <c r="Z309" s="27" t="inlineStr">
        <is>
          <t>Failed (จอขาว / ไม่มีเนื้อหา (Blank Screen))</t>
        </is>
      </c>
      <c r="AA309" s="2" t="inlineStr">
        <is>
          <t>2026-10-21 00:13:37</t>
        </is>
      </c>
    </row>
    <row r="310" ht="21.95" customHeight="1">
      <c r="A310" s="2" t="n">
        <v>309</v>
      </c>
      <c r="B310" s="31" t="inlineStr">
        <is>
          <t>http://www.magcartoon.com</t>
        </is>
      </c>
      <c r="C310" s="2" t="inlineStr">
        <is>
          <t>บันเทิง</t>
        </is>
      </c>
      <c r="D310" s="10">
        <f>F310/71</f>
        <v/>
      </c>
      <c r="E310" s="11">
        <f>IF(D310&gt;=0.9,"ดีเยี่ยม",IF(D310&gt;=0.7,"ดี",IF(D310&gt;=0.5,"พอใช้","ต้องปรับปรุง")))</f>
        <v/>
      </c>
      <c r="F310" s="6">
        <f>J310+N310+R310+V310</f>
        <v/>
      </c>
      <c r="G310" s="6">
        <f>K310+O310+S310+W310</f>
        <v/>
      </c>
      <c r="H310" s="6">
        <f>L310+P310+T310+X310</f>
        <v/>
      </c>
      <c r="I310" s="7">
        <f>J310/37</f>
        <v/>
      </c>
      <c r="J310" s="6" t="n">
        <v>31</v>
      </c>
      <c r="K310" s="6" t="n">
        <v>4</v>
      </c>
      <c r="L310" s="6" t="n">
        <v>2</v>
      </c>
      <c r="M310" s="7">
        <f>N310/9</f>
        <v/>
      </c>
      <c r="N310" s="6" t="n">
        <v>7</v>
      </c>
      <c r="O310" s="6" t="n">
        <v>1</v>
      </c>
      <c r="P310" s="6" t="n">
        <v>1</v>
      </c>
      <c r="Q310" s="7">
        <f>R310/11</f>
        <v/>
      </c>
      <c r="R310" s="6" t="n">
        <v>6</v>
      </c>
      <c r="S310" s="6" t="n">
        <v>3</v>
      </c>
      <c r="T310" s="6" t="n">
        <v>2</v>
      </c>
      <c r="U310" s="7">
        <f>V310/14</f>
        <v/>
      </c>
      <c r="V310" s="6" t="n">
        <v>2</v>
      </c>
      <c r="W310" s="6" t="n">
        <v>12</v>
      </c>
      <c r="X310" s="6" t="n">
        <v>0</v>
      </c>
      <c r="Y310" s="8" t="n">
        <v>16.33</v>
      </c>
      <c r="Z310" s="9" t="inlineStr">
        <is>
          <t>Success</t>
        </is>
      </c>
      <c r="AA310" s="2" t="inlineStr">
        <is>
          <t>2026-10-09 12:22:52</t>
        </is>
      </c>
    </row>
    <row r="311" ht="21.95" customHeight="1">
      <c r="A311" s="2" t="n">
        <v>310</v>
      </c>
      <c r="B311" s="31" t="inlineStr">
        <is>
          <t>http://www.exim.go.th</t>
        </is>
      </c>
      <c r="C311" s="2" t="inlineStr">
        <is>
          <t>หน่วยงานราชการ,องค์กร</t>
        </is>
      </c>
      <c r="D311" s="4">
        <f>F311/71</f>
        <v/>
      </c>
      <c r="E311" s="5">
        <f>IF(D311&gt;=0.9,"ดีเยี่ยม",IF(D311&gt;=0.7,"ดี",IF(D311&gt;=0.5,"พอใช้","ต้องปรับปรุง")))</f>
        <v/>
      </c>
      <c r="F311" s="6">
        <f>J311+N311+R311+V311</f>
        <v/>
      </c>
      <c r="G311" s="6">
        <f>K311+O311+S311+W311</f>
        <v/>
      </c>
      <c r="H311" s="6">
        <f>L311+P311+T311+X311</f>
        <v/>
      </c>
      <c r="I311" s="7">
        <f>J311/37</f>
        <v/>
      </c>
      <c r="J311" s="6" t="n">
        <v>34</v>
      </c>
      <c r="K311" s="6" t="n">
        <v>2</v>
      </c>
      <c r="L311" s="6" t="n">
        <v>1</v>
      </c>
      <c r="M311" s="7">
        <f>N311/9</f>
        <v/>
      </c>
      <c r="N311" s="6" t="n">
        <v>6</v>
      </c>
      <c r="O311" s="6" t="n">
        <v>2</v>
      </c>
      <c r="P311" s="6" t="n">
        <v>1</v>
      </c>
      <c r="Q311" s="7">
        <f>R311/11</f>
        <v/>
      </c>
      <c r="R311" s="6" t="n">
        <v>6</v>
      </c>
      <c r="S311" s="6" t="n">
        <v>2</v>
      </c>
      <c r="T311" s="6" t="n">
        <v>3</v>
      </c>
      <c r="U311" s="7">
        <f>V311/14</f>
        <v/>
      </c>
      <c r="V311" s="6" t="n">
        <v>4</v>
      </c>
      <c r="W311" s="6" t="n">
        <v>9</v>
      </c>
      <c r="X311" s="6" t="n">
        <v>1</v>
      </c>
      <c r="Y311" s="8" t="n">
        <v>35.2</v>
      </c>
      <c r="Z311" s="9" t="inlineStr">
        <is>
          <t>Success</t>
        </is>
      </c>
      <c r="AA311" s="2" t="inlineStr">
        <is>
          <t>2026-10-08 20:40:31</t>
        </is>
      </c>
    </row>
    <row r="312" ht="21.95" customHeight="1">
      <c r="A312" s="2" t="n">
        <v>311</v>
      </c>
      <c r="B312" s="31" t="inlineStr">
        <is>
          <t>http://www.guideubon.com</t>
        </is>
      </c>
      <c r="C312" s="2" t="inlineStr">
        <is>
          <t>ท่องเที่ยว</t>
        </is>
      </c>
      <c r="D312" s="10">
        <f>F312/71</f>
        <v/>
      </c>
      <c r="E312" s="11">
        <f>IF(D312&gt;=0.9,"ดีเยี่ยม",IF(D312&gt;=0.7,"ดี",IF(D312&gt;=0.5,"พอใช้","ต้องปรับปรุง")))</f>
        <v/>
      </c>
      <c r="F312" s="6">
        <f>J312+N312+R312+V312</f>
        <v/>
      </c>
      <c r="G312" s="6">
        <f>K312+O312+S312+W312</f>
        <v/>
      </c>
      <c r="H312" s="6">
        <f>L312+P312+T312+X312</f>
        <v/>
      </c>
      <c r="I312" s="7">
        <f>J312/37</f>
        <v/>
      </c>
      <c r="J312" s="6" t="n">
        <v>36</v>
      </c>
      <c r="K312" s="6" t="n">
        <v>0</v>
      </c>
      <c r="L312" s="6" t="n">
        <v>1</v>
      </c>
      <c r="M312" s="7">
        <f>N312/9</f>
        <v/>
      </c>
      <c r="N312" s="6" t="n">
        <v>7</v>
      </c>
      <c r="O312" s="6" t="n">
        <v>2</v>
      </c>
      <c r="P312" s="6" t="n">
        <v>0</v>
      </c>
      <c r="Q312" s="7">
        <f>R312/11</f>
        <v/>
      </c>
      <c r="R312" s="6" t="n">
        <v>2</v>
      </c>
      <c r="S312" s="6" t="n">
        <v>4</v>
      </c>
      <c r="T312" s="6" t="n">
        <v>5</v>
      </c>
      <c r="U312" s="7">
        <f>V312/14</f>
        <v/>
      </c>
      <c r="V312" s="6" t="n">
        <v>2</v>
      </c>
      <c r="W312" s="6" t="n">
        <v>12</v>
      </c>
      <c r="X312" s="6" t="n">
        <v>0</v>
      </c>
      <c r="Y312" s="8" t="n">
        <v>55.04</v>
      </c>
      <c r="Z312" s="9" t="inlineStr">
        <is>
          <t>Success</t>
        </is>
      </c>
      <c r="AA312" s="2" t="inlineStr">
        <is>
          <t>2026-10-08 20:41:26</t>
        </is>
      </c>
    </row>
    <row r="313" ht="21.95" customHeight="1">
      <c r="A313" s="2" t="n">
        <v>312</v>
      </c>
      <c r="B313" s="31" t="inlineStr">
        <is>
          <t>http://www.sec-plkutt.go.th</t>
        </is>
      </c>
      <c r="C313" s="2" t="inlineStr">
        <is>
          <t>หน่วยงานราชการ,องค์กร</t>
        </is>
      </c>
      <c r="D313" s="10">
        <f>F313/71</f>
        <v/>
      </c>
      <c r="E313" s="11">
        <f>IF(D313&gt;=0.9,"ดีเยี่ยม",IF(D313&gt;=0.7,"ดี",IF(D313&gt;=0.5,"พอใช้","ต้องปรับปรุง")))</f>
        <v/>
      </c>
      <c r="F313" s="6">
        <f>J313+N313+R313+V313</f>
        <v/>
      </c>
      <c r="G313" s="6">
        <f>K313+O313+S313+W313</f>
        <v/>
      </c>
      <c r="H313" s="6">
        <f>L313+P313+T313+X313</f>
        <v/>
      </c>
      <c r="I313" s="7">
        <f>J313/37</f>
        <v/>
      </c>
      <c r="J313" s="6" t="n">
        <v>34</v>
      </c>
      <c r="K313" s="6" t="n">
        <v>2</v>
      </c>
      <c r="L313" s="6" t="n">
        <v>1</v>
      </c>
      <c r="M313" s="7">
        <f>N313/9</f>
        <v/>
      </c>
      <c r="N313" s="6" t="n">
        <v>7</v>
      </c>
      <c r="O313" s="6" t="n">
        <v>2</v>
      </c>
      <c r="P313" s="6" t="n">
        <v>0</v>
      </c>
      <c r="Q313" s="7">
        <f>R313/11</f>
        <v/>
      </c>
      <c r="R313" s="6" t="n">
        <v>3</v>
      </c>
      <c r="S313" s="6" t="n">
        <v>3</v>
      </c>
      <c r="T313" s="6" t="n">
        <v>5</v>
      </c>
      <c r="U313" s="7">
        <f>V313/14</f>
        <v/>
      </c>
      <c r="V313" s="6" t="n">
        <v>2</v>
      </c>
      <c r="W313" s="6" t="n">
        <v>12</v>
      </c>
      <c r="X313" s="6" t="n">
        <v>0</v>
      </c>
      <c r="Y313" s="8" t="n">
        <v>36.72</v>
      </c>
      <c r="Z313" s="9" t="inlineStr">
        <is>
          <t>Success</t>
        </is>
      </c>
      <c r="AA313" s="2" t="inlineStr">
        <is>
          <t>2026-10-08 20:42:02</t>
        </is>
      </c>
    </row>
    <row r="314" ht="21.95" customHeight="1">
      <c r="A314" s="2" t="n">
        <v>313</v>
      </c>
      <c r="B314" s="31" t="inlineStr">
        <is>
          <t>http://www.lib.ru.ac.th</t>
        </is>
      </c>
      <c r="C314" s="2" t="inlineStr">
        <is>
          <t>การศึกษา</t>
        </is>
      </c>
      <c r="D314" s="4">
        <f>F314/71</f>
        <v/>
      </c>
      <c r="E314" s="5">
        <f>IF(D314&gt;=0.9,"ดีเยี่ยม",IF(D314&gt;=0.7,"ดี",IF(D314&gt;=0.5,"พอใช้","ต้องปรับปรุง")))</f>
        <v/>
      </c>
      <c r="F314" s="6">
        <f>J314+N314+R314+V314</f>
        <v/>
      </c>
      <c r="G314" s="6">
        <f>K314+O314+S314+W314</f>
        <v/>
      </c>
      <c r="H314" s="6">
        <f>L314+P314+T314+X314</f>
        <v/>
      </c>
      <c r="I314" s="7">
        <f>J314/37</f>
        <v/>
      </c>
      <c r="J314" s="6" t="n">
        <v>34</v>
      </c>
      <c r="K314" s="6" t="n">
        <v>3</v>
      </c>
      <c r="L314" s="6" t="n">
        <v>0</v>
      </c>
      <c r="M314" s="7">
        <f>N314/9</f>
        <v/>
      </c>
      <c r="N314" s="6" t="n">
        <v>8</v>
      </c>
      <c r="O314" s="6" t="n">
        <v>1</v>
      </c>
      <c r="P314" s="6" t="n">
        <v>0</v>
      </c>
      <c r="Q314" s="7">
        <f>R314/11</f>
        <v/>
      </c>
      <c r="R314" s="6" t="n">
        <v>5</v>
      </c>
      <c r="S314" s="6" t="n">
        <v>1</v>
      </c>
      <c r="T314" s="6" t="n">
        <v>5</v>
      </c>
      <c r="U314" s="7">
        <f>V314/14</f>
        <v/>
      </c>
      <c r="V314" s="6" t="n">
        <v>6</v>
      </c>
      <c r="W314" s="6" t="n">
        <v>6</v>
      </c>
      <c r="X314" s="6" t="n">
        <v>2</v>
      </c>
      <c r="Y314" s="8" t="n">
        <v>38.98</v>
      </c>
      <c r="Z314" s="9" t="inlineStr">
        <is>
          <t>Success</t>
        </is>
      </c>
      <c r="AA314" s="2" t="inlineStr">
        <is>
          <t>2026-10-08 20:42:41</t>
        </is>
      </c>
    </row>
    <row r="315" ht="21.95" customHeight="1">
      <c r="A315" s="2" t="n">
        <v>314</v>
      </c>
      <c r="B315" s="31" t="inlineStr">
        <is>
          <t>http://www.icez.net</t>
        </is>
      </c>
      <c r="C315" s="2" t="inlineStr">
        <is>
          <t>อินเทอร์เน็ต</t>
        </is>
      </c>
      <c r="D315" s="10">
        <f>F315/71</f>
        <v/>
      </c>
      <c r="E315" s="11">
        <f>IF(D315&gt;=0.9,"ดีเยี่ยม",IF(D315&gt;=0.7,"ดี",IF(D315&gt;=0.5,"พอใช้","ต้องปรับปรุง")))</f>
        <v/>
      </c>
      <c r="F315" s="6">
        <f>J315+N315+R315+V315</f>
        <v/>
      </c>
      <c r="G315" s="6">
        <f>K315+O315+S315+W315</f>
        <v/>
      </c>
      <c r="H315" s="6">
        <f>L315+P315+T315+X315</f>
        <v/>
      </c>
      <c r="I315" s="7">
        <f>J315/37</f>
        <v/>
      </c>
      <c r="J315" s="6" t="n">
        <v>32</v>
      </c>
      <c r="K315" s="6" t="n">
        <v>5</v>
      </c>
      <c r="L315" s="6" t="n">
        <v>0</v>
      </c>
      <c r="M315" s="7">
        <f>N315/9</f>
        <v/>
      </c>
      <c r="N315" s="6" t="n">
        <v>6</v>
      </c>
      <c r="O315" s="6" t="n">
        <v>3</v>
      </c>
      <c r="P315" s="6" t="n">
        <v>0</v>
      </c>
      <c r="Q315" s="7">
        <f>R315/11</f>
        <v/>
      </c>
      <c r="R315" s="6" t="n">
        <v>3</v>
      </c>
      <c r="S315" s="6" t="n">
        <v>3</v>
      </c>
      <c r="T315" s="6" t="n">
        <v>5</v>
      </c>
      <c r="U315" s="7">
        <f>V315/14</f>
        <v/>
      </c>
      <c r="V315" s="6" t="n">
        <v>2</v>
      </c>
      <c r="W315" s="6" t="n">
        <v>12</v>
      </c>
      <c r="X315" s="6" t="n">
        <v>0</v>
      </c>
      <c r="Y315" s="8" t="n">
        <v>39.44</v>
      </c>
      <c r="Z315" s="9" t="inlineStr">
        <is>
          <t>Success</t>
        </is>
      </c>
      <c r="AA315" s="2" t="inlineStr">
        <is>
          <t>2026-10-08 20:43:21</t>
        </is>
      </c>
    </row>
    <row r="316" ht="21.95" customHeight="1">
      <c r="A316" s="2" t="n">
        <v>315</v>
      </c>
      <c r="B316" s="31" t="inlineStr">
        <is>
          <t>http://www.clc.ac.th</t>
        </is>
      </c>
      <c r="C316" s="2" t="inlineStr">
        <is>
          <t>การศึกษา</t>
        </is>
      </c>
      <c r="D316" s="10">
        <f>F316/71</f>
        <v/>
      </c>
      <c r="E316" s="11">
        <f>IF(D316&gt;=0.9,"ดีเยี่ยม",IF(D316&gt;=0.7,"ดี",IF(D316&gt;=0.5,"พอใช้","ต้องปรับปรุง")))</f>
        <v/>
      </c>
      <c r="F316" s="6">
        <f>J316+N316+R316+V316</f>
        <v/>
      </c>
      <c r="G316" s="6">
        <f>K316+O316+S316+W316</f>
        <v/>
      </c>
      <c r="H316" s="6">
        <f>L316+P316+T316+X316</f>
        <v/>
      </c>
      <c r="I316" s="7">
        <f>J316/37</f>
        <v/>
      </c>
      <c r="J316" s="6" t="n">
        <v>35</v>
      </c>
      <c r="K316" s="6" t="n">
        <v>1</v>
      </c>
      <c r="L316" s="6" t="n">
        <v>1</v>
      </c>
      <c r="M316" s="7">
        <f>N316/9</f>
        <v/>
      </c>
      <c r="N316" s="6" t="n">
        <v>7</v>
      </c>
      <c r="O316" s="6" t="n">
        <v>1</v>
      </c>
      <c r="P316" s="6" t="n">
        <v>1</v>
      </c>
      <c r="Q316" s="7">
        <f>R316/11</f>
        <v/>
      </c>
      <c r="R316" s="6" t="n">
        <v>5</v>
      </c>
      <c r="S316" s="6" t="n">
        <v>3</v>
      </c>
      <c r="T316" s="6" t="n">
        <v>3</v>
      </c>
      <c r="U316" s="7">
        <f>V316/14</f>
        <v/>
      </c>
      <c r="V316" s="6" t="n">
        <v>2</v>
      </c>
      <c r="W316" s="6" t="n">
        <v>12</v>
      </c>
      <c r="X316" s="6" t="n">
        <v>0</v>
      </c>
      <c r="Y316" s="8" t="n">
        <v>67</v>
      </c>
      <c r="Z316" s="9" t="inlineStr">
        <is>
          <t>Success</t>
        </is>
      </c>
      <c r="AA316" s="2" t="inlineStr">
        <is>
          <t>2026-10-08 20:44:28</t>
        </is>
      </c>
    </row>
    <row r="317" ht="21.95" customHeight="1">
      <c r="A317" s="2" t="n">
        <v>316</v>
      </c>
      <c r="B317" s="31" t="inlineStr">
        <is>
          <t>http://www.moradokislam.org</t>
        </is>
      </c>
      <c r="C317" s="2" t="inlineStr">
        <is>
          <t>หน่วยงานราชการ,องค์กร</t>
        </is>
      </c>
      <c r="D317" s="10">
        <f>F317/71</f>
        <v/>
      </c>
      <c r="E317" s="11">
        <f>IF(D317&gt;=0.9,"ดีเยี่ยม",IF(D317&gt;=0.7,"ดี",IF(D317&gt;=0.5,"พอใช้","ต้องปรับปรุง")))</f>
        <v/>
      </c>
      <c r="F317" s="6">
        <f>J317+N317+R317+V317</f>
        <v/>
      </c>
      <c r="G317" s="6">
        <f>K317+O317+S317+W317</f>
        <v/>
      </c>
      <c r="H317" s="6">
        <f>L317+P317+T317+X317</f>
        <v/>
      </c>
      <c r="I317" s="7">
        <f>J317/37</f>
        <v/>
      </c>
      <c r="J317" s="6" t="n">
        <v>30</v>
      </c>
      <c r="K317" s="6" t="n">
        <v>6</v>
      </c>
      <c r="L317" s="6" t="n">
        <v>1</v>
      </c>
      <c r="M317" s="7">
        <f>N317/9</f>
        <v/>
      </c>
      <c r="N317" s="6" t="n">
        <v>8</v>
      </c>
      <c r="O317" s="6" t="n">
        <v>1</v>
      </c>
      <c r="P317" s="6" t="n">
        <v>0</v>
      </c>
      <c r="Q317" s="7">
        <f>R317/11</f>
        <v/>
      </c>
      <c r="R317" s="6" t="n">
        <v>0</v>
      </c>
      <c r="S317" s="6" t="n">
        <v>4</v>
      </c>
      <c r="T317" s="6" t="n">
        <v>7</v>
      </c>
      <c r="U317" s="7">
        <f>V317/14</f>
        <v/>
      </c>
      <c r="V317" s="6" t="n">
        <v>1</v>
      </c>
      <c r="W317" s="6" t="n">
        <v>13</v>
      </c>
      <c r="X317" s="6" t="n">
        <v>0</v>
      </c>
      <c r="Y317" s="8" t="n">
        <v>39.8</v>
      </c>
      <c r="Z317" s="9" t="inlineStr">
        <is>
          <t>Success</t>
        </is>
      </c>
      <c r="AA317" s="2" t="inlineStr">
        <is>
          <t>2026-10-08 20:45:08</t>
        </is>
      </c>
    </row>
    <row r="318" ht="21.95" customHeight="1">
      <c r="A318" s="2" t="n">
        <v>317</v>
      </c>
      <c r="B318" s="31" t="inlineStr">
        <is>
          <t>http://www.bloggang.com</t>
        </is>
      </c>
      <c r="C318" s="2" t="inlineStr">
        <is>
          <t>บุคคล-สังคม</t>
        </is>
      </c>
      <c r="D318" s="10">
        <f>F318/71</f>
        <v/>
      </c>
      <c r="E318" s="11">
        <f>IF(D318&gt;=0.9,"ดีเยี่ยม",IF(D318&gt;=0.7,"ดี",IF(D318&gt;=0.5,"พอใช้","ต้องปรับปรุง")))</f>
        <v/>
      </c>
      <c r="F318" s="6">
        <f>J318+N318+R318+V318</f>
        <v/>
      </c>
      <c r="G318" s="6">
        <f>K318+O318+S318+W318</f>
        <v/>
      </c>
      <c r="H318" s="6">
        <f>L318+P318+T318+X318</f>
        <v/>
      </c>
      <c r="I318" s="7">
        <f>J318/37</f>
        <v/>
      </c>
      <c r="J318" s="6" t="n">
        <v>29</v>
      </c>
      <c r="K318" s="6" t="n">
        <v>7</v>
      </c>
      <c r="L318" s="6" t="n">
        <v>1</v>
      </c>
      <c r="M318" s="7">
        <f>N318/9</f>
        <v/>
      </c>
      <c r="N318" s="6" t="n">
        <v>8</v>
      </c>
      <c r="O318" s="6" t="n">
        <v>1</v>
      </c>
      <c r="P318" s="6" t="n">
        <v>0</v>
      </c>
      <c r="Q318" s="7">
        <f>R318/11</f>
        <v/>
      </c>
      <c r="R318" s="6" t="n">
        <v>3</v>
      </c>
      <c r="S318" s="6" t="n">
        <v>3</v>
      </c>
      <c r="T318" s="6" t="n">
        <v>5</v>
      </c>
      <c r="U318" s="7">
        <f>V318/14</f>
        <v/>
      </c>
      <c r="V318" s="6" t="n">
        <v>2</v>
      </c>
      <c r="W318" s="6" t="n">
        <v>12</v>
      </c>
      <c r="X318" s="6" t="n">
        <v>0</v>
      </c>
      <c r="Y318" s="8" t="n">
        <v>35.03</v>
      </c>
      <c r="Z318" s="9" t="inlineStr">
        <is>
          <t>Success</t>
        </is>
      </c>
      <c r="AA318" s="2" t="inlineStr">
        <is>
          <t>2026-10-08 20:45:43</t>
        </is>
      </c>
    </row>
    <row r="319" ht="21.95" customHeight="1">
      <c r="A319" s="2" t="n">
        <v>318</v>
      </c>
      <c r="B319" s="31" t="inlineStr">
        <is>
          <t>http://www.thedigiday.com</t>
        </is>
      </c>
      <c r="C319" s="2" t="inlineStr">
        <is>
          <t>ธุรกิจ</t>
        </is>
      </c>
      <c r="D319" s="10">
        <f>F319/71</f>
        <v/>
      </c>
      <c r="E319" s="11">
        <f>IF(D319&gt;=0.9,"ดีเยี่ยม",IF(D319&gt;=0.7,"ดี",IF(D319&gt;=0.5,"พอใช้","ต้องปรับปรุง")))</f>
        <v/>
      </c>
      <c r="F319" s="6">
        <f>J319+N319+R319+V319</f>
        <v/>
      </c>
      <c r="G319" s="6">
        <f>K319+O319+S319+W319</f>
        <v/>
      </c>
      <c r="H319" s="6">
        <f>L319+P319+T319+X319</f>
        <v/>
      </c>
      <c r="I319" s="7">
        <f>J319/37</f>
        <v/>
      </c>
      <c r="J319" s="6" t="n">
        <v>34</v>
      </c>
      <c r="K319" s="6" t="n">
        <v>2</v>
      </c>
      <c r="L319" s="6" t="n">
        <v>1</v>
      </c>
      <c r="M319" s="7">
        <f>N319/9</f>
        <v/>
      </c>
      <c r="N319" s="6" t="n">
        <v>7</v>
      </c>
      <c r="O319" s="6" t="n">
        <v>0</v>
      </c>
      <c r="P319" s="6" t="n">
        <v>2</v>
      </c>
      <c r="Q319" s="7">
        <f>R319/11</f>
        <v/>
      </c>
      <c r="R319" s="6" t="n">
        <v>2</v>
      </c>
      <c r="S319" s="6" t="n">
        <v>4</v>
      </c>
      <c r="T319" s="6" t="n">
        <v>5</v>
      </c>
      <c r="U319" s="7">
        <f>V319/14</f>
        <v/>
      </c>
      <c r="V319" s="6" t="n">
        <v>2</v>
      </c>
      <c r="W319" s="6" t="n">
        <v>12</v>
      </c>
      <c r="X319" s="6" t="n">
        <v>0</v>
      </c>
      <c r="Y319" s="8" t="n">
        <v>36.56</v>
      </c>
      <c r="Z319" s="9" t="inlineStr">
        <is>
          <t>Success</t>
        </is>
      </c>
      <c r="AA319" s="2" t="inlineStr">
        <is>
          <t>2026-10-08 20:46:19</t>
        </is>
      </c>
    </row>
    <row r="320" ht="21.95" customHeight="1">
      <c r="A320" s="2" t="n">
        <v>319</v>
      </c>
      <c r="B320" s="31" t="inlineStr">
        <is>
          <t>http://www.pahdongdoy.com</t>
        </is>
      </c>
      <c r="C320" s="2" t="inlineStr">
        <is>
          <t>ท่องเที่ยว</t>
        </is>
      </c>
      <c r="D320" s="10">
        <f>F320/71</f>
        <v/>
      </c>
      <c r="E320" s="11">
        <f>IF(D320&gt;=0.9,"ดีเยี่ยม",IF(D320&gt;=0.7,"ดี",IF(D320&gt;=0.5,"พอใช้","ต้องปรับปรุง")))</f>
        <v/>
      </c>
      <c r="F320" s="6">
        <f>J320+N320+R320+V320</f>
        <v/>
      </c>
      <c r="G320" s="6">
        <f>K320+O320+S320+W320</f>
        <v/>
      </c>
      <c r="H320" s="6">
        <f>L320+P320+T320+X320</f>
        <v/>
      </c>
      <c r="I320" s="7">
        <f>J320/37</f>
        <v/>
      </c>
      <c r="J320" s="6" t="n">
        <v>30</v>
      </c>
      <c r="K320" s="6" t="n">
        <v>6</v>
      </c>
      <c r="L320" s="6" t="n">
        <v>1</v>
      </c>
      <c r="M320" s="7">
        <f>N320/9</f>
        <v/>
      </c>
      <c r="N320" s="6" t="n">
        <v>9</v>
      </c>
      <c r="O320" s="6" t="n">
        <v>0</v>
      </c>
      <c r="P320" s="6" t="n">
        <v>0</v>
      </c>
      <c r="Q320" s="7">
        <f>R320/11</f>
        <v/>
      </c>
      <c r="R320" s="6" t="n">
        <v>0</v>
      </c>
      <c r="S320" s="6" t="n">
        <v>4</v>
      </c>
      <c r="T320" s="6" t="n">
        <v>7</v>
      </c>
      <c r="U320" s="7">
        <f>V320/14</f>
        <v/>
      </c>
      <c r="V320" s="6" t="n">
        <v>1</v>
      </c>
      <c r="W320" s="6" t="n">
        <v>12</v>
      </c>
      <c r="X320" s="6" t="n">
        <v>1</v>
      </c>
      <c r="Y320" s="8" t="n">
        <v>38.48</v>
      </c>
      <c r="Z320" s="9" t="inlineStr">
        <is>
          <t>Success</t>
        </is>
      </c>
      <c r="AA320" s="2" t="inlineStr">
        <is>
          <t>2026-10-08 20:46:58</t>
        </is>
      </c>
    </row>
    <row r="321" ht="21.95" customHeight="1">
      <c r="A321" s="2" t="n">
        <v>320</v>
      </c>
      <c r="B321" s="31" t="inlineStr">
        <is>
          <t>http://www.thaicadet.org</t>
        </is>
      </c>
      <c r="C321" s="2" t="inlineStr">
        <is>
          <t>การศึกษา</t>
        </is>
      </c>
      <c r="D321" s="10">
        <f>F321/71</f>
        <v/>
      </c>
      <c r="E321" s="11">
        <f>IF(D321&gt;=0.9,"ดีเยี่ยม",IF(D321&gt;=0.7,"ดี",IF(D321&gt;=0.5,"พอใช้","ต้องปรับปรุง")))</f>
        <v/>
      </c>
      <c r="F321" s="6">
        <f>J321+N321+R321+V321</f>
        <v/>
      </c>
      <c r="G321" s="6">
        <f>K321+O321+S321+W321</f>
        <v/>
      </c>
      <c r="H321" s="6">
        <f>L321+P321+T321+X321</f>
        <v/>
      </c>
      <c r="I321" s="7">
        <f>J321/37</f>
        <v/>
      </c>
      <c r="J321" s="6" t="n">
        <v>30</v>
      </c>
      <c r="K321" s="6" t="n">
        <v>6</v>
      </c>
      <c r="L321" s="6" t="n">
        <v>1</v>
      </c>
      <c r="M321" s="7">
        <f>N321/9</f>
        <v/>
      </c>
      <c r="N321" s="6" t="n">
        <v>8</v>
      </c>
      <c r="O321" s="6" t="n">
        <v>1</v>
      </c>
      <c r="P321" s="6" t="n">
        <v>0</v>
      </c>
      <c r="Q321" s="7">
        <f>R321/11</f>
        <v/>
      </c>
      <c r="R321" s="6" t="n">
        <v>3</v>
      </c>
      <c r="S321" s="6" t="n">
        <v>3</v>
      </c>
      <c r="T321" s="6" t="n">
        <v>5</v>
      </c>
      <c r="U321" s="7">
        <f>V321/14</f>
        <v/>
      </c>
      <c r="V321" s="6" t="n">
        <v>2</v>
      </c>
      <c r="W321" s="6" t="n">
        <v>12</v>
      </c>
      <c r="X321" s="6" t="n">
        <v>0</v>
      </c>
      <c r="Y321" s="8" t="n">
        <v>48.48</v>
      </c>
      <c r="Z321" s="9" t="inlineStr">
        <is>
          <t>Success</t>
        </is>
      </c>
      <c r="AA321" s="2" t="inlineStr">
        <is>
          <t>2026-10-08 20:47:46</t>
        </is>
      </c>
    </row>
    <row r="322" ht="21.95" customHeight="1">
      <c r="A322" s="2" t="n">
        <v>321</v>
      </c>
      <c r="B322" s="31" t="inlineStr">
        <is>
          <t>http://tanutrading.com</t>
        </is>
      </c>
      <c r="C322" s="2" t="inlineStr">
        <is>
          <t>ธุรกิจ</t>
        </is>
      </c>
      <c r="D322" s="10">
        <f>F322/71</f>
        <v/>
      </c>
      <c r="E322" s="11">
        <f>IF(D322&gt;=0.9,"ดีเยี่ยม",IF(D322&gt;=0.7,"ดี",IF(D322&gt;=0.5,"พอใช้","ต้องปรับปรุง")))</f>
        <v/>
      </c>
      <c r="F322" s="6">
        <f>J322+N322+R322+V322</f>
        <v/>
      </c>
      <c r="G322" s="6">
        <f>K322+O322+S322+W322</f>
        <v/>
      </c>
      <c r="H322" s="6">
        <f>L322+P322+T322+X322</f>
        <v/>
      </c>
      <c r="I322" s="7">
        <f>J322/37</f>
        <v/>
      </c>
      <c r="J322" s="6" t="n">
        <v>30</v>
      </c>
      <c r="K322" s="6" t="n">
        <v>7</v>
      </c>
      <c r="L322" s="6" t="n">
        <v>0</v>
      </c>
      <c r="M322" s="7">
        <f>N322/9</f>
        <v/>
      </c>
      <c r="N322" s="6" t="n">
        <v>8</v>
      </c>
      <c r="O322" s="6" t="n">
        <v>1</v>
      </c>
      <c r="P322" s="6" t="n">
        <v>0</v>
      </c>
      <c r="Q322" s="7">
        <f>R322/11</f>
        <v/>
      </c>
      <c r="R322" s="6" t="n">
        <v>0</v>
      </c>
      <c r="S322" s="6" t="n">
        <v>4</v>
      </c>
      <c r="T322" s="6" t="n">
        <v>7</v>
      </c>
      <c r="U322" s="7">
        <f>V322/14</f>
        <v/>
      </c>
      <c r="V322" s="6" t="n">
        <v>2</v>
      </c>
      <c r="W322" s="6" t="n">
        <v>12</v>
      </c>
      <c r="X322" s="6" t="n">
        <v>0</v>
      </c>
      <c r="Y322" s="8" t="n">
        <v>116.47</v>
      </c>
      <c r="Z322" s="9" t="inlineStr">
        <is>
          <t>Success</t>
        </is>
      </c>
      <c r="AA322" s="2" t="inlineStr">
        <is>
          <t>2026-10-08 20:49:43</t>
        </is>
      </c>
    </row>
    <row r="323" ht="21.95" customHeight="1">
      <c r="A323" s="2" t="n">
        <v>322</v>
      </c>
      <c r="B323" s="31" t="inlineStr">
        <is>
          <t>http://green.kmutt.ac.th</t>
        </is>
      </c>
      <c r="C323" s="2" t="inlineStr">
        <is>
          <t>การศึกษา</t>
        </is>
      </c>
      <c r="D323" s="4">
        <f>F323/71</f>
        <v/>
      </c>
      <c r="E323" s="5">
        <f>IF(D323&gt;=0.9,"ดีเยี่ยม",IF(D323&gt;=0.7,"ดี",IF(D323&gt;=0.5,"พอใช้","ต้องปรับปรุง")))</f>
        <v/>
      </c>
      <c r="F323" s="6">
        <f>J323+N323+R323+V323</f>
        <v/>
      </c>
      <c r="G323" s="6">
        <f>K323+O323+S323+W323</f>
        <v/>
      </c>
      <c r="H323" s="6">
        <f>L323+P323+T323+X323</f>
        <v/>
      </c>
      <c r="I323" s="7">
        <f>J323/37</f>
        <v/>
      </c>
      <c r="J323" s="6" t="n">
        <v>36</v>
      </c>
      <c r="K323" s="6" t="n">
        <v>1</v>
      </c>
      <c r="L323" s="6" t="n">
        <v>0</v>
      </c>
      <c r="M323" s="7">
        <f>N323/9</f>
        <v/>
      </c>
      <c r="N323" s="6" t="n">
        <v>7</v>
      </c>
      <c r="O323" s="6" t="n">
        <v>1</v>
      </c>
      <c r="P323" s="6" t="n">
        <v>1</v>
      </c>
      <c r="Q323" s="7">
        <f>R323/11</f>
        <v/>
      </c>
      <c r="R323" s="6" t="n">
        <v>5</v>
      </c>
      <c r="S323" s="6" t="n">
        <v>3</v>
      </c>
      <c r="T323" s="6" t="n">
        <v>3</v>
      </c>
      <c r="U323" s="7">
        <f>V323/14</f>
        <v/>
      </c>
      <c r="V323" s="6" t="n">
        <v>2</v>
      </c>
      <c r="W323" s="6" t="n">
        <v>12</v>
      </c>
      <c r="X323" s="6" t="n">
        <v>0</v>
      </c>
      <c r="Y323" s="8" t="n">
        <v>34.43</v>
      </c>
      <c r="Z323" s="9" t="inlineStr">
        <is>
          <t>Success</t>
        </is>
      </c>
      <c r="AA323" s="2" t="inlineStr">
        <is>
          <t>2026-10-08 20:50:17</t>
        </is>
      </c>
    </row>
    <row r="324" ht="21.95" customHeight="1">
      <c r="A324" s="2" t="n">
        <v>323</v>
      </c>
      <c r="B324" s="31" t="inlineStr">
        <is>
          <t>http://www.dankwian.com</t>
        </is>
      </c>
      <c r="C324" s="2" t="inlineStr">
        <is>
          <t>ท่องเที่ยว</t>
        </is>
      </c>
      <c r="D324" s="10">
        <f>F324/71</f>
        <v/>
      </c>
      <c r="E324" s="11">
        <f>IF(D324&gt;=0.9,"ดีเยี่ยม",IF(D324&gt;=0.7,"ดี",IF(D324&gt;=0.5,"พอใช้","ต้องปรับปรุง")))</f>
        <v/>
      </c>
      <c r="F324" s="6">
        <f>J324+N324+R324+V324</f>
        <v/>
      </c>
      <c r="G324" s="6">
        <f>K324+O324+S324+W324</f>
        <v/>
      </c>
      <c r="H324" s="6">
        <f>L324+P324+T324+X324</f>
        <v/>
      </c>
      <c r="I324" s="7">
        <f>J324/37</f>
        <v/>
      </c>
      <c r="J324" s="6" t="n">
        <v>34</v>
      </c>
      <c r="K324" s="6" t="n">
        <v>3</v>
      </c>
      <c r="L324" s="6" t="n">
        <v>0</v>
      </c>
      <c r="M324" s="7">
        <f>N324/9</f>
        <v/>
      </c>
      <c r="N324" s="6" t="n">
        <v>7</v>
      </c>
      <c r="O324" s="6" t="n">
        <v>2</v>
      </c>
      <c r="P324" s="6" t="n">
        <v>0</v>
      </c>
      <c r="Q324" s="7">
        <f>R324/11</f>
        <v/>
      </c>
      <c r="R324" s="6" t="n">
        <v>5</v>
      </c>
      <c r="S324" s="6" t="n">
        <v>3</v>
      </c>
      <c r="T324" s="6" t="n">
        <v>3</v>
      </c>
      <c r="U324" s="7">
        <f>V324/14</f>
        <v/>
      </c>
      <c r="V324" s="6" t="n">
        <v>2</v>
      </c>
      <c r="W324" s="6" t="n">
        <v>12</v>
      </c>
      <c r="X324" s="6" t="n">
        <v>0</v>
      </c>
      <c r="Y324" s="8" t="n">
        <v>105.39</v>
      </c>
      <c r="Z324" s="9" t="inlineStr">
        <is>
          <t>Success</t>
        </is>
      </c>
      <c r="AA324" s="2" t="inlineStr">
        <is>
          <t>2026-10-08 20:52:02</t>
        </is>
      </c>
    </row>
    <row r="325" ht="21.95" customHeight="1">
      <c r="A325" s="2" t="n">
        <v>324</v>
      </c>
      <c r="B325" s="31" t="inlineStr">
        <is>
          <t>http://www.evohosting.in.th</t>
        </is>
      </c>
      <c r="C325" s="2" t="inlineStr">
        <is>
          <t>อินเทอร์เน็ต</t>
        </is>
      </c>
      <c r="D325" s="10">
        <f>F325/71</f>
        <v/>
      </c>
      <c r="E325" s="11">
        <f>IF(D325&gt;=0.9,"ดีเยี่ยม",IF(D325&gt;=0.7,"ดี",IF(D325&gt;=0.5,"พอใช้","ต้องปรับปรุง")))</f>
        <v/>
      </c>
      <c r="F325" s="6">
        <f>J325+N325+R325+V325</f>
        <v/>
      </c>
      <c r="G325" s="6">
        <f>K325+O325+S325+W325</f>
        <v/>
      </c>
      <c r="H325" s="6">
        <f>L325+P325+T325+X325</f>
        <v/>
      </c>
      <c r="I325" s="7">
        <f>J325/37</f>
        <v/>
      </c>
      <c r="J325" s="6" t="n">
        <v>33</v>
      </c>
      <c r="K325" s="6" t="n">
        <v>4</v>
      </c>
      <c r="L325" s="6" t="n">
        <v>0</v>
      </c>
      <c r="M325" s="7">
        <f>N325/9</f>
        <v/>
      </c>
      <c r="N325" s="6" t="n">
        <v>7</v>
      </c>
      <c r="O325" s="6" t="n">
        <v>2</v>
      </c>
      <c r="P325" s="6" t="n">
        <v>0</v>
      </c>
      <c r="Q325" s="7">
        <f>R325/11</f>
        <v/>
      </c>
      <c r="R325" s="6" t="n">
        <v>3</v>
      </c>
      <c r="S325" s="6" t="n">
        <v>3</v>
      </c>
      <c r="T325" s="6" t="n">
        <v>5</v>
      </c>
      <c r="U325" s="7">
        <f>V325/14</f>
        <v/>
      </c>
      <c r="V325" s="6" t="n">
        <v>2</v>
      </c>
      <c r="W325" s="6" t="n">
        <v>12</v>
      </c>
      <c r="X325" s="6" t="n">
        <v>0</v>
      </c>
      <c r="Y325" s="8" t="n">
        <v>35.2</v>
      </c>
      <c r="Z325" s="9" t="inlineStr">
        <is>
          <t>Success</t>
        </is>
      </c>
      <c r="AA325" s="2" t="inlineStr">
        <is>
          <t>2026-10-08 20:52:38</t>
        </is>
      </c>
    </row>
    <row r="326" ht="21.95" customHeight="1">
      <c r="A326" s="2" t="n">
        <v>325</v>
      </c>
      <c r="B326" s="31" t="inlineStr">
        <is>
          <t>http://www.thaicreate.com</t>
        </is>
      </c>
      <c r="C326" s="2" t="inlineStr">
        <is>
          <t>คอมพิวเตอร์</t>
        </is>
      </c>
      <c r="D326" s="10">
        <f>F326/71</f>
        <v/>
      </c>
      <c r="E326" s="11">
        <f>IF(D326&gt;=0.9,"ดีเยี่ยม",IF(D326&gt;=0.7,"ดี",IF(D326&gt;=0.5,"พอใช้","ต้องปรับปรุง")))</f>
        <v/>
      </c>
      <c r="F326" s="6">
        <f>J326+N326+R326+V326</f>
        <v/>
      </c>
      <c r="G326" s="6">
        <f>K326+O326+S326+W326</f>
        <v/>
      </c>
      <c r="H326" s="6">
        <f>L326+P326+T326+X326</f>
        <v/>
      </c>
      <c r="I326" s="7">
        <f>J326/37</f>
        <v/>
      </c>
      <c r="J326" s="6" t="n">
        <v>30</v>
      </c>
      <c r="K326" s="6" t="n">
        <v>6</v>
      </c>
      <c r="L326" s="6" t="n">
        <v>1</v>
      </c>
      <c r="M326" s="7">
        <f>N326/9</f>
        <v/>
      </c>
      <c r="N326" s="6" t="n">
        <v>8</v>
      </c>
      <c r="O326" s="6" t="n">
        <v>1</v>
      </c>
      <c r="P326" s="6" t="n">
        <v>0</v>
      </c>
      <c r="Q326" s="7">
        <f>R326/11</f>
        <v/>
      </c>
      <c r="R326" s="6" t="n">
        <v>2</v>
      </c>
      <c r="S326" s="6" t="n">
        <v>4</v>
      </c>
      <c r="T326" s="6" t="n">
        <v>5</v>
      </c>
      <c r="U326" s="7">
        <f>V326/14</f>
        <v/>
      </c>
      <c r="V326" s="6" t="n">
        <v>1</v>
      </c>
      <c r="W326" s="6" t="n">
        <v>12</v>
      </c>
      <c r="X326" s="6" t="n">
        <v>1</v>
      </c>
      <c r="Y326" s="8" t="n">
        <v>34.98</v>
      </c>
      <c r="Z326" s="9" t="inlineStr">
        <is>
          <t>Success</t>
        </is>
      </c>
      <c r="AA326" s="2" t="inlineStr">
        <is>
          <t>2026-10-08 20:53:13</t>
        </is>
      </c>
    </row>
    <row r="327" ht="21.95" customHeight="1">
      <c r="A327" s="2" t="n">
        <v>326</v>
      </c>
      <c r="B327" s="31" t="inlineStr">
        <is>
          <t>http://www.tutown.com</t>
        </is>
      </c>
      <c r="C327" s="2" t="inlineStr">
        <is>
          <t>การศึกษา</t>
        </is>
      </c>
      <c r="D327" s="10">
        <f>F327/71</f>
        <v/>
      </c>
      <c r="E327" s="11">
        <f>IF(D327&gt;=0.9,"ดีเยี่ยม",IF(D327&gt;=0.7,"ดี",IF(D327&gt;=0.5,"พอใช้","ต้องปรับปรุง")))</f>
        <v/>
      </c>
      <c r="F327" s="6">
        <f>J327+N327+R327+V327</f>
        <v/>
      </c>
      <c r="G327" s="6">
        <f>K327+O327+S327+W327</f>
        <v/>
      </c>
      <c r="H327" s="6">
        <f>L327+P327+T327+X327</f>
        <v/>
      </c>
      <c r="I327" s="7">
        <f>J327/37</f>
        <v/>
      </c>
      <c r="J327" s="6" t="n">
        <v>30</v>
      </c>
      <c r="K327" s="6" t="n">
        <v>6</v>
      </c>
      <c r="L327" s="6" t="n">
        <v>1</v>
      </c>
      <c r="M327" s="7">
        <f>N327/9</f>
        <v/>
      </c>
      <c r="N327" s="6" t="n">
        <v>7</v>
      </c>
      <c r="O327" s="6" t="n">
        <v>2</v>
      </c>
      <c r="P327" s="6" t="n">
        <v>0</v>
      </c>
      <c r="Q327" s="7">
        <f>R327/11</f>
        <v/>
      </c>
      <c r="R327" s="6" t="n">
        <v>3</v>
      </c>
      <c r="S327" s="6" t="n">
        <v>3</v>
      </c>
      <c r="T327" s="6" t="n">
        <v>5</v>
      </c>
      <c r="U327" s="7">
        <f>V327/14</f>
        <v/>
      </c>
      <c r="V327" s="6" t="n">
        <v>2</v>
      </c>
      <c r="W327" s="6" t="n">
        <v>12</v>
      </c>
      <c r="X327" s="6" t="n">
        <v>0</v>
      </c>
      <c r="Y327" s="8" t="n">
        <v>56</v>
      </c>
      <c r="Z327" s="9" t="inlineStr">
        <is>
          <t>Success</t>
        </is>
      </c>
      <c r="AA327" s="2" t="inlineStr">
        <is>
          <t>2026-10-08 20:54:09</t>
        </is>
      </c>
    </row>
    <row r="328" ht="21.95" customHeight="1">
      <c r="A328" s="2" t="n">
        <v>327</v>
      </c>
      <c r="B328" s="31" t="inlineStr">
        <is>
          <t>http://www.thaiappraisal.org</t>
        </is>
      </c>
      <c r="C328" s="2" t="inlineStr">
        <is>
          <t>อสังหาริมทรัพย์-ก่อสร้าง</t>
        </is>
      </c>
      <c r="D328" s="10">
        <f>F328/71</f>
        <v/>
      </c>
      <c r="E328" s="11">
        <f>IF(D328&gt;=0.9,"ดีเยี่ยม",IF(D328&gt;=0.7,"ดี",IF(D328&gt;=0.5,"พอใช้","ต้องปรับปรุง")))</f>
        <v/>
      </c>
      <c r="F328" s="6">
        <f>J328+N328+R328+V328</f>
        <v/>
      </c>
      <c r="G328" s="6">
        <f>K328+O328+S328+W328</f>
        <v/>
      </c>
      <c r="H328" s="6">
        <f>L328+P328+T328+X328</f>
        <v/>
      </c>
      <c r="I328" s="7">
        <f>J328/37</f>
        <v/>
      </c>
      <c r="J328" s="6" t="n">
        <v>33</v>
      </c>
      <c r="K328" s="6" t="n">
        <v>2</v>
      </c>
      <c r="L328" s="6" t="n">
        <v>2</v>
      </c>
      <c r="M328" s="7">
        <f>N328/9</f>
        <v/>
      </c>
      <c r="N328" s="6" t="n">
        <v>7</v>
      </c>
      <c r="O328" s="6" t="n">
        <v>2</v>
      </c>
      <c r="P328" s="6" t="n">
        <v>0</v>
      </c>
      <c r="Q328" s="7">
        <f>R328/11</f>
        <v/>
      </c>
      <c r="R328" s="6" t="n">
        <v>3</v>
      </c>
      <c r="S328" s="6" t="n">
        <v>3</v>
      </c>
      <c r="T328" s="6" t="n">
        <v>5</v>
      </c>
      <c r="U328" s="7">
        <f>V328/14</f>
        <v/>
      </c>
      <c r="V328" s="6" t="n">
        <v>2</v>
      </c>
      <c r="W328" s="6" t="n">
        <v>12</v>
      </c>
      <c r="X328" s="6" t="n">
        <v>0</v>
      </c>
      <c r="Y328" s="8" t="n">
        <v>132.89</v>
      </c>
      <c r="Z328" s="9" t="inlineStr">
        <is>
          <t>Success</t>
        </is>
      </c>
      <c r="AA328" s="2" t="inlineStr">
        <is>
          <t>2026-10-08 20:56:21</t>
        </is>
      </c>
    </row>
    <row r="329" ht="21.95" customHeight="1">
      <c r="A329" s="2" t="n">
        <v>328</v>
      </c>
      <c r="B329" s="31" t="inlineStr">
        <is>
          <t>http://www.thaiscooter.com</t>
        </is>
      </c>
      <c r="C329" s="2" t="inlineStr">
        <is>
          <t>ยานยนต์</t>
        </is>
      </c>
      <c r="D329" s="4">
        <f>F329/71</f>
        <v/>
      </c>
      <c r="E329" s="5">
        <f>IF(D329&gt;=0.9,"ดีเยี่ยม",IF(D329&gt;=0.7,"ดี",IF(D329&gt;=0.5,"พอใช้","ต้องปรับปรุง")))</f>
        <v/>
      </c>
      <c r="F329" s="6">
        <f>J329+N329+R329+V329</f>
        <v/>
      </c>
      <c r="G329" s="6">
        <f>K329+O329+S329+W329</f>
        <v/>
      </c>
      <c r="H329" s="6">
        <f>L329+P329+T329+X329</f>
        <v/>
      </c>
      <c r="I329" s="7">
        <f>J329/37</f>
        <v/>
      </c>
      <c r="J329" s="6" t="n">
        <v>37</v>
      </c>
      <c r="K329" s="6" t="n">
        <v>0</v>
      </c>
      <c r="L329" s="6" t="n">
        <v>0</v>
      </c>
      <c r="M329" s="7">
        <f>N329/9</f>
        <v/>
      </c>
      <c r="N329" s="6" t="n">
        <v>9</v>
      </c>
      <c r="O329" s="6" t="n">
        <v>0</v>
      </c>
      <c r="P329" s="6" t="n">
        <v>0</v>
      </c>
      <c r="Q329" s="7">
        <f>R329/11</f>
        <v/>
      </c>
      <c r="R329" s="6" t="n">
        <v>6</v>
      </c>
      <c r="S329" s="6" t="n">
        <v>2</v>
      </c>
      <c r="T329" s="6" t="n">
        <v>3</v>
      </c>
      <c r="U329" s="7">
        <f>V329/14</f>
        <v/>
      </c>
      <c r="V329" s="6" t="n">
        <v>9</v>
      </c>
      <c r="W329" s="6" t="n">
        <v>4</v>
      </c>
      <c r="X329" s="6" t="n">
        <v>1</v>
      </c>
      <c r="Y329" s="8" t="n">
        <v>34.48</v>
      </c>
      <c r="Z329" s="9" t="inlineStr">
        <is>
          <t>Success</t>
        </is>
      </c>
      <c r="AA329" s="2" t="inlineStr">
        <is>
          <t>2026-10-08 20:56:56</t>
        </is>
      </c>
    </row>
    <row r="330" ht="21.95" customHeight="1">
      <c r="A330" s="2" t="n">
        <v>329</v>
      </c>
      <c r="B330" s="31" t="inlineStr">
        <is>
          <t>http://www.parn-thanaporn.com</t>
        </is>
      </c>
      <c r="C330" s="2" t="inlineStr">
        <is>
          <t>บันเทิง</t>
        </is>
      </c>
      <c r="D330" s="10">
        <f>F330/71</f>
        <v/>
      </c>
      <c r="E330" s="11">
        <f>IF(D330&gt;=0.9,"ดีเยี่ยม",IF(D330&gt;=0.7,"ดี",IF(D330&gt;=0.5,"พอใช้","ต้องปรับปรุง")))</f>
        <v/>
      </c>
      <c r="F330" s="6">
        <f>J330+N330+R330+V330</f>
        <v/>
      </c>
      <c r="G330" s="6">
        <f>K330+O330+S330+W330</f>
        <v/>
      </c>
      <c r="H330" s="6">
        <f>L330+P330+T330+X330</f>
        <v/>
      </c>
      <c r="I330" s="7">
        <f>J330/37</f>
        <v/>
      </c>
      <c r="J330" s="6" t="n">
        <v>34</v>
      </c>
      <c r="K330" s="6" t="n">
        <v>2</v>
      </c>
      <c r="L330" s="6" t="n">
        <v>1</v>
      </c>
      <c r="M330" s="7">
        <f>N330/9</f>
        <v/>
      </c>
      <c r="N330" s="6" t="n">
        <v>6</v>
      </c>
      <c r="O330" s="6" t="n">
        <v>3</v>
      </c>
      <c r="P330" s="6" t="n">
        <v>0</v>
      </c>
      <c r="Q330" s="7">
        <f>R330/11</f>
        <v/>
      </c>
      <c r="R330" s="6" t="n">
        <v>2</v>
      </c>
      <c r="S330" s="6" t="n">
        <v>4</v>
      </c>
      <c r="T330" s="6" t="n">
        <v>5</v>
      </c>
      <c r="U330" s="7">
        <f>V330/14</f>
        <v/>
      </c>
      <c r="V330" s="6" t="n">
        <v>2</v>
      </c>
      <c r="W330" s="6" t="n">
        <v>12</v>
      </c>
      <c r="X330" s="6" t="n">
        <v>0</v>
      </c>
      <c r="Y330" s="8" t="n">
        <v>35.52</v>
      </c>
      <c r="Z330" s="9" t="inlineStr">
        <is>
          <t>Success</t>
        </is>
      </c>
      <c r="AA330" s="2" t="inlineStr">
        <is>
          <t>2026-10-08 20:57:31</t>
        </is>
      </c>
    </row>
    <row r="331" ht="21.95" customHeight="1">
      <c r="A331" s="2" t="n">
        <v>330</v>
      </c>
      <c r="B331" s="31" t="inlineStr">
        <is>
          <t>http://www.naiin.com</t>
        </is>
      </c>
      <c r="C331" s="2" t="inlineStr">
        <is>
          <t>ช๊อปปิ้ง</t>
        </is>
      </c>
      <c r="D331" s="4">
        <f>F331/71</f>
        <v/>
      </c>
      <c r="E331" s="5">
        <f>IF(D331&gt;=0.9,"ดีเยี่ยม",IF(D331&gt;=0.7,"ดี",IF(D331&gt;=0.5,"พอใช้","ต้องปรับปรุง")))</f>
        <v/>
      </c>
      <c r="F331" s="6">
        <f>J331+N331+R331+V331</f>
        <v/>
      </c>
      <c r="G331" s="6">
        <f>K331+O331+S331+W331</f>
        <v/>
      </c>
      <c r="H331" s="6">
        <f>L331+P331+T331+X331</f>
        <v/>
      </c>
      <c r="I331" s="7">
        <f>J331/37</f>
        <v/>
      </c>
      <c r="J331" s="6" t="n">
        <v>35</v>
      </c>
      <c r="K331" s="6" t="n">
        <v>1</v>
      </c>
      <c r="L331" s="6" t="n">
        <v>1</v>
      </c>
      <c r="M331" s="7">
        <f>N331/9</f>
        <v/>
      </c>
      <c r="N331" s="6" t="n">
        <v>7</v>
      </c>
      <c r="O331" s="6" t="n">
        <v>1</v>
      </c>
      <c r="P331" s="6" t="n">
        <v>1</v>
      </c>
      <c r="Q331" s="7">
        <f>R331/11</f>
        <v/>
      </c>
      <c r="R331" s="6" t="n">
        <v>4</v>
      </c>
      <c r="S331" s="6" t="n">
        <v>2</v>
      </c>
      <c r="T331" s="6" t="n">
        <v>5</v>
      </c>
      <c r="U331" s="7">
        <f>V331/14</f>
        <v/>
      </c>
      <c r="V331" s="6" t="n">
        <v>5</v>
      </c>
      <c r="W331" s="6" t="n">
        <v>6</v>
      </c>
      <c r="X331" s="6" t="n">
        <v>3</v>
      </c>
      <c r="Y331" s="8" t="n">
        <v>34.92</v>
      </c>
      <c r="Z331" s="9" t="inlineStr">
        <is>
          <t>Success</t>
        </is>
      </c>
      <c r="AA331" s="2" t="inlineStr">
        <is>
          <t>2026-10-08 20:58:06</t>
        </is>
      </c>
    </row>
    <row r="332" ht="21.95" customHeight="1">
      <c r="A332" s="2" t="n">
        <v>331</v>
      </c>
      <c r="B332" s="31" t="inlineStr">
        <is>
          <t>http://www.taklong.com</t>
        </is>
      </c>
      <c r="C332" s="2" t="inlineStr">
        <is>
          <t>ศิลปะ-วัฒนธรรม</t>
        </is>
      </c>
      <c r="D332" s="10">
        <f>F332/71</f>
        <v/>
      </c>
      <c r="E332" s="11">
        <f>IF(D332&gt;=0.9,"ดีเยี่ยม",IF(D332&gt;=0.7,"ดี",IF(D332&gt;=0.5,"พอใช้","ต้องปรับปรุง")))</f>
        <v/>
      </c>
      <c r="F332" s="6">
        <f>J332+N332+R332+V332</f>
        <v/>
      </c>
      <c r="G332" s="6">
        <f>K332+O332+S332+W332</f>
        <v/>
      </c>
      <c r="H332" s="6">
        <f>L332+P332+T332+X332</f>
        <v/>
      </c>
      <c r="I332" s="7">
        <f>J332/37</f>
        <v/>
      </c>
      <c r="J332" s="6" t="n">
        <v>31</v>
      </c>
      <c r="K332" s="6" t="n">
        <v>5</v>
      </c>
      <c r="L332" s="6" t="n">
        <v>1</v>
      </c>
      <c r="M332" s="7">
        <f>N332/9</f>
        <v/>
      </c>
      <c r="N332" s="6" t="n">
        <v>6</v>
      </c>
      <c r="O332" s="6" t="n">
        <v>2</v>
      </c>
      <c r="P332" s="6" t="n">
        <v>1</v>
      </c>
      <c r="Q332" s="7">
        <f>R332/11</f>
        <v/>
      </c>
      <c r="R332" s="6" t="n">
        <v>3</v>
      </c>
      <c r="S332" s="6" t="n">
        <v>3</v>
      </c>
      <c r="T332" s="6" t="n">
        <v>5</v>
      </c>
      <c r="U332" s="7">
        <f>V332/14</f>
        <v/>
      </c>
      <c r="V332" s="6" t="n">
        <v>2</v>
      </c>
      <c r="W332" s="6" t="n">
        <v>12</v>
      </c>
      <c r="X332" s="6" t="n">
        <v>0</v>
      </c>
      <c r="Y332" s="8" t="n">
        <v>35.58</v>
      </c>
      <c r="Z332" s="9" t="inlineStr">
        <is>
          <t>Success</t>
        </is>
      </c>
      <c r="AA332" s="2" t="inlineStr">
        <is>
          <t>2026-10-08 20:58:42</t>
        </is>
      </c>
    </row>
    <row r="333" ht="21.95" customHeight="1">
      <c r="A333" s="2" t="n">
        <v>332</v>
      </c>
      <c r="B333" s="31" t="inlineStr">
        <is>
          <t>http://www.businesssoft.com</t>
        </is>
      </c>
      <c r="C333" s="2" t="inlineStr">
        <is>
          <t>ธุรกิจ</t>
        </is>
      </c>
      <c r="D333" s="4">
        <f>F333/71</f>
        <v/>
      </c>
      <c r="E333" s="5">
        <f>IF(D333&gt;=0.9,"ดีเยี่ยม",IF(D333&gt;=0.7,"ดี",IF(D333&gt;=0.5,"พอใช้","ต้องปรับปรุง")))</f>
        <v/>
      </c>
      <c r="F333" s="6">
        <f>J333+N333+R333+V333</f>
        <v/>
      </c>
      <c r="G333" s="6">
        <f>K333+O333+S333+W333</f>
        <v/>
      </c>
      <c r="H333" s="6">
        <f>L333+P333+T333+X333</f>
        <v/>
      </c>
      <c r="I333" s="7">
        <f>J333/37</f>
        <v/>
      </c>
      <c r="J333" s="6" t="n">
        <v>33</v>
      </c>
      <c r="K333" s="6" t="n">
        <v>3</v>
      </c>
      <c r="L333" s="6" t="n">
        <v>1</v>
      </c>
      <c r="M333" s="7">
        <f>N333/9</f>
        <v/>
      </c>
      <c r="N333" s="6" t="n">
        <v>8</v>
      </c>
      <c r="O333" s="6" t="n">
        <v>1</v>
      </c>
      <c r="P333" s="6" t="n">
        <v>0</v>
      </c>
      <c r="Q333" s="7">
        <f>R333/11</f>
        <v/>
      </c>
      <c r="R333" s="6" t="n">
        <v>6</v>
      </c>
      <c r="S333" s="6" t="n">
        <v>3</v>
      </c>
      <c r="T333" s="6" t="n">
        <v>2</v>
      </c>
      <c r="U333" s="7">
        <f>V333/14</f>
        <v/>
      </c>
      <c r="V333" s="6" t="n">
        <v>3</v>
      </c>
      <c r="W333" s="6" t="n">
        <v>11</v>
      </c>
      <c r="X333" s="6" t="n">
        <v>0</v>
      </c>
      <c r="Y333" s="8" t="n">
        <v>20.49</v>
      </c>
      <c r="Z333" s="9" t="inlineStr">
        <is>
          <t>Success</t>
        </is>
      </c>
      <c r="AA333" s="2" t="inlineStr">
        <is>
          <t>2026-10-09 12:23:12</t>
        </is>
      </c>
    </row>
    <row r="334" ht="21.95" customHeight="1">
      <c r="A334" s="2" t="n">
        <v>333</v>
      </c>
      <c r="B334" s="31" t="inlineStr">
        <is>
          <t>http://swdgems.com</t>
        </is>
      </c>
      <c r="C334" s="2" t="inlineStr">
        <is>
          <t>ช๊อปปิ้ง</t>
        </is>
      </c>
      <c r="D334" s="25">
        <f>F334/71</f>
        <v/>
      </c>
      <c r="E334" s="26">
        <f>IF(D334&gt;=0.9,"ดีเยี่ยม",IF(D334&gt;=0.7,"ดี",IF(D334&gt;=0.5,"พอใช้","ต้องปรับปรุง")))</f>
        <v/>
      </c>
      <c r="F334" s="6">
        <f>J334+N334+R334+V334</f>
        <v/>
      </c>
      <c r="G334" s="6">
        <f>K334+O334+S334+W334</f>
        <v/>
      </c>
      <c r="H334" s="6">
        <f>L334+P334+T334+X334</f>
        <v/>
      </c>
      <c r="I334" s="7">
        <f>J334/37</f>
        <v/>
      </c>
      <c r="J334" s="6" t="n">
        <v>0</v>
      </c>
      <c r="K334" s="6" t="n">
        <v>37</v>
      </c>
      <c r="L334" s="6" t="n">
        <v>0</v>
      </c>
      <c r="M334" s="7">
        <f>N334/9</f>
        <v/>
      </c>
      <c r="N334" s="6" t="n">
        <v>0</v>
      </c>
      <c r="O334" s="6" t="n">
        <v>9</v>
      </c>
      <c r="P334" s="6" t="n">
        <v>0</v>
      </c>
      <c r="Q334" s="7">
        <f>R334/11</f>
        <v/>
      </c>
      <c r="R334" s="6" t="n">
        <v>0</v>
      </c>
      <c r="S334" s="6" t="n">
        <v>11</v>
      </c>
      <c r="T334" s="6" t="n">
        <v>0</v>
      </c>
      <c r="U334" s="7">
        <f>V334/14</f>
        <v/>
      </c>
      <c r="V334" s="6" t="n">
        <v>0</v>
      </c>
      <c r="W334" s="6" t="n">
        <v>14</v>
      </c>
      <c r="X334" s="6" t="n">
        <v>0</v>
      </c>
      <c r="Y334" s="8" t="n">
        <v>1.24</v>
      </c>
      <c r="Z334" s="27" t="inlineStr">
        <is>
          <t>Failed (DNS Error (หาเว็บไม่เจอ))</t>
        </is>
      </c>
      <c r="AA334" s="2" t="inlineStr">
        <is>
          <t>2026-10-21 00:13:37</t>
        </is>
      </c>
    </row>
    <row r="335" ht="21.95" customHeight="1">
      <c r="A335" s="2" t="n">
        <v>334</v>
      </c>
      <c r="B335" s="31" t="inlineStr">
        <is>
          <t>http://www.bongkoch.com</t>
        </is>
      </c>
      <c r="C335" s="2" t="inlineStr">
        <is>
          <t>ช๊อปปิ้ง</t>
        </is>
      </c>
      <c r="D335" s="10">
        <f>F335/71</f>
        <v/>
      </c>
      <c r="E335" s="11">
        <f>IF(D335&gt;=0.9,"ดีเยี่ยม",IF(D335&gt;=0.7,"ดี",IF(D335&gt;=0.5,"พอใช้","ต้องปรับปรุง")))</f>
        <v/>
      </c>
      <c r="F335" s="6">
        <f>J335+N335+R335+V335</f>
        <v/>
      </c>
      <c r="G335" s="6">
        <f>K335+O335+S335+W335</f>
        <v/>
      </c>
      <c r="H335" s="6">
        <f>L335+P335+T335+X335</f>
        <v/>
      </c>
      <c r="I335" s="7">
        <f>J335/37</f>
        <v/>
      </c>
      <c r="J335" s="6" t="n">
        <v>28</v>
      </c>
      <c r="K335" s="6" t="n">
        <v>9</v>
      </c>
      <c r="L335" s="6" t="n">
        <v>0</v>
      </c>
      <c r="M335" s="7">
        <f>N335/9</f>
        <v/>
      </c>
      <c r="N335" s="6" t="n">
        <v>8</v>
      </c>
      <c r="O335" s="6" t="n">
        <v>1</v>
      </c>
      <c r="P335" s="6" t="n">
        <v>0</v>
      </c>
      <c r="Q335" s="7">
        <f>R335/11</f>
        <v/>
      </c>
      <c r="R335" s="6" t="n">
        <v>3</v>
      </c>
      <c r="S335" s="6" t="n">
        <v>3</v>
      </c>
      <c r="T335" s="6" t="n">
        <v>5</v>
      </c>
      <c r="U335" s="7">
        <f>V335/14</f>
        <v/>
      </c>
      <c r="V335" s="6" t="n">
        <v>3</v>
      </c>
      <c r="W335" s="6" t="n">
        <v>11</v>
      </c>
      <c r="X335" s="6" t="n">
        <v>0</v>
      </c>
      <c r="Y335" s="8" t="n">
        <v>46.36</v>
      </c>
      <c r="Z335" s="9" t="inlineStr">
        <is>
          <t>Success</t>
        </is>
      </c>
      <c r="AA335" s="2" t="inlineStr">
        <is>
          <t>2026-10-08 21:00:43</t>
        </is>
      </c>
    </row>
    <row r="336" ht="21.95" customHeight="1">
      <c r="A336" s="2" t="n">
        <v>335</v>
      </c>
      <c r="B336" s="31" t="inlineStr">
        <is>
          <t>http://www.asiagenial.com</t>
        </is>
      </c>
      <c r="C336" s="2" t="inlineStr">
        <is>
          <t>อินเทอร์เน็ต</t>
        </is>
      </c>
      <c r="D336" s="10">
        <f>F336/71</f>
        <v/>
      </c>
      <c r="E336" s="11">
        <f>IF(D336&gt;=0.9,"ดีเยี่ยม",IF(D336&gt;=0.7,"ดี",IF(D336&gt;=0.5,"พอใช้","ต้องปรับปรุง")))</f>
        <v/>
      </c>
      <c r="F336" s="6">
        <f>J336+N336+R336+V336</f>
        <v/>
      </c>
      <c r="G336" s="6">
        <f>K336+O336+S336+W336</f>
        <v/>
      </c>
      <c r="H336" s="6">
        <f>L336+P336+T336+X336</f>
        <v/>
      </c>
      <c r="I336" s="7">
        <f>J336/37</f>
        <v/>
      </c>
      <c r="J336" s="6" t="n">
        <v>35</v>
      </c>
      <c r="K336" s="6" t="n">
        <v>1</v>
      </c>
      <c r="L336" s="6" t="n">
        <v>1</v>
      </c>
      <c r="M336" s="7">
        <f>N336/9</f>
        <v/>
      </c>
      <c r="N336" s="6" t="n">
        <v>9</v>
      </c>
      <c r="O336" s="6" t="n">
        <v>0</v>
      </c>
      <c r="P336" s="6" t="n">
        <v>0</v>
      </c>
      <c r="Q336" s="7">
        <f>R336/11</f>
        <v/>
      </c>
      <c r="R336" s="6" t="n">
        <v>3</v>
      </c>
      <c r="S336" s="6" t="n">
        <v>4</v>
      </c>
      <c r="T336" s="6" t="n">
        <v>4</v>
      </c>
      <c r="U336" s="7">
        <f>V336/14</f>
        <v/>
      </c>
      <c r="V336" s="6" t="n">
        <v>2</v>
      </c>
      <c r="W336" s="6" t="n">
        <v>12</v>
      </c>
      <c r="X336" s="6" t="n">
        <v>0</v>
      </c>
      <c r="Y336" s="8" t="n">
        <v>35.11</v>
      </c>
      <c r="Z336" s="9" t="inlineStr">
        <is>
          <t>Success</t>
        </is>
      </c>
      <c r="AA336" s="2" t="inlineStr">
        <is>
          <t>2026-10-09 12:24:22</t>
        </is>
      </c>
    </row>
    <row r="337" ht="21.95" customHeight="1">
      <c r="A337" s="2" t="n">
        <v>336</v>
      </c>
      <c r="B337" s="31" t="inlineStr">
        <is>
          <t>http://www.wsjob.com</t>
        </is>
      </c>
      <c r="C337" s="2" t="inlineStr">
        <is>
          <t>ธุรกิจ</t>
        </is>
      </c>
      <c r="D337" s="10">
        <f>F337/71</f>
        <v/>
      </c>
      <c r="E337" s="11">
        <f>IF(D337&gt;=0.9,"ดีเยี่ยม",IF(D337&gt;=0.7,"ดี",IF(D337&gt;=0.5,"พอใช้","ต้องปรับปรุง")))</f>
        <v/>
      </c>
      <c r="F337" s="6">
        <f>J337+N337+R337+V337</f>
        <v/>
      </c>
      <c r="G337" s="6">
        <f>K337+O337+S337+W337</f>
        <v/>
      </c>
      <c r="H337" s="6">
        <f>L337+P337+T337+X337</f>
        <v/>
      </c>
      <c r="I337" s="7">
        <f>J337/37</f>
        <v/>
      </c>
      <c r="J337" s="6" t="n">
        <v>29</v>
      </c>
      <c r="K337" s="6" t="n">
        <v>8</v>
      </c>
      <c r="L337" s="6" t="n">
        <v>0</v>
      </c>
      <c r="M337" s="7">
        <f>N337/9</f>
        <v/>
      </c>
      <c r="N337" s="6" t="n">
        <v>5</v>
      </c>
      <c r="O337" s="6" t="n">
        <v>4</v>
      </c>
      <c r="P337" s="6" t="n">
        <v>0</v>
      </c>
      <c r="Q337" s="7">
        <f>R337/11</f>
        <v/>
      </c>
      <c r="R337" s="6" t="n">
        <v>3</v>
      </c>
      <c r="S337" s="6" t="n">
        <v>3</v>
      </c>
      <c r="T337" s="6" t="n">
        <v>5</v>
      </c>
      <c r="U337" s="7">
        <f>V337/14</f>
        <v/>
      </c>
      <c r="V337" s="6" t="n">
        <v>2</v>
      </c>
      <c r="W337" s="6" t="n">
        <v>12</v>
      </c>
      <c r="X337" s="6" t="n">
        <v>0</v>
      </c>
      <c r="Y337" s="8" t="n">
        <v>36.68</v>
      </c>
      <c r="Z337" s="9" t="inlineStr">
        <is>
          <t>Success</t>
        </is>
      </c>
      <c r="AA337" s="2" t="inlineStr">
        <is>
          <t>2026-10-08 21:02:24</t>
        </is>
      </c>
    </row>
    <row r="338" ht="21.95" customHeight="1">
      <c r="A338" s="2" t="n">
        <v>337</v>
      </c>
      <c r="B338" s="31" t="inlineStr">
        <is>
          <t>http://www.adslthailand.com</t>
        </is>
      </c>
      <c r="C338" s="2" t="inlineStr">
        <is>
          <t>คอมพิวเตอร์</t>
        </is>
      </c>
      <c r="D338" s="10">
        <f>F338/71</f>
        <v/>
      </c>
      <c r="E338" s="11">
        <f>IF(D338&gt;=0.9,"ดีเยี่ยม",IF(D338&gt;=0.7,"ดี",IF(D338&gt;=0.5,"พอใช้","ต้องปรับปรุง")))</f>
        <v/>
      </c>
      <c r="F338" s="6">
        <f>J338+N338+R338+V338</f>
        <v/>
      </c>
      <c r="G338" s="6">
        <f>K338+O338+S338+W338</f>
        <v/>
      </c>
      <c r="H338" s="6">
        <f>L338+P338+T338+X338</f>
        <v/>
      </c>
      <c r="I338" s="7">
        <f>J338/37</f>
        <v/>
      </c>
      <c r="J338" s="6" t="n">
        <v>34</v>
      </c>
      <c r="K338" s="6" t="n">
        <v>2</v>
      </c>
      <c r="L338" s="6" t="n">
        <v>1</v>
      </c>
      <c r="M338" s="7">
        <f>N338/9</f>
        <v/>
      </c>
      <c r="N338" s="6" t="n">
        <v>8</v>
      </c>
      <c r="O338" s="6" t="n">
        <v>1</v>
      </c>
      <c r="P338" s="6" t="n">
        <v>0</v>
      </c>
      <c r="Q338" s="7">
        <f>R338/11</f>
        <v/>
      </c>
      <c r="R338" s="6" t="n">
        <v>3</v>
      </c>
      <c r="S338" s="6" t="n">
        <v>3</v>
      </c>
      <c r="T338" s="6" t="n">
        <v>5</v>
      </c>
      <c r="U338" s="7">
        <f>V338/14</f>
        <v/>
      </c>
      <c r="V338" s="6" t="n">
        <v>2</v>
      </c>
      <c r="W338" s="6" t="n">
        <v>12</v>
      </c>
      <c r="X338" s="6" t="n">
        <v>0</v>
      </c>
      <c r="Y338" s="8" t="n">
        <v>35.7</v>
      </c>
      <c r="Z338" s="9" t="inlineStr">
        <is>
          <t>Success</t>
        </is>
      </c>
      <c r="AA338" s="2" t="inlineStr">
        <is>
          <t>2026-10-08 21:03:00</t>
        </is>
      </c>
    </row>
    <row r="339" ht="21.95" customHeight="1">
      <c r="A339" s="2" t="n">
        <v>338</v>
      </c>
      <c r="B339" s="31" t="inlineStr">
        <is>
          <t>http://www.kradandum.com</t>
        </is>
      </c>
      <c r="C339" s="2" t="inlineStr">
        <is>
          <t>การศึกษา</t>
        </is>
      </c>
      <c r="D339" s="25">
        <f>F339/71</f>
        <v/>
      </c>
      <c r="E339" s="26">
        <f>IF(D339&gt;=0.9,"ดีเยี่ยม",IF(D339&gt;=0.7,"ดี",IF(D339&gt;=0.5,"พอใช้","ต้องปรับปรุง")))</f>
        <v/>
      </c>
      <c r="F339" s="6">
        <f>J339+N339+R339+V339</f>
        <v/>
      </c>
      <c r="G339" s="6">
        <f>K339+O339+S339+W339</f>
        <v/>
      </c>
      <c r="H339" s="6">
        <f>L339+P339+T339+X339</f>
        <v/>
      </c>
      <c r="I339" s="7">
        <f>J339/37</f>
        <v/>
      </c>
      <c r="J339" s="6" t="n">
        <v>0</v>
      </c>
      <c r="K339" s="6" t="n">
        <v>37</v>
      </c>
      <c r="L339" s="6" t="n">
        <v>0</v>
      </c>
      <c r="M339" s="7">
        <f>N339/9</f>
        <v/>
      </c>
      <c r="N339" s="6" t="n">
        <v>0</v>
      </c>
      <c r="O339" s="6" t="n">
        <v>9</v>
      </c>
      <c r="P339" s="6" t="n">
        <v>0</v>
      </c>
      <c r="Q339" s="7">
        <f>R339/11</f>
        <v/>
      </c>
      <c r="R339" s="6" t="n">
        <v>0</v>
      </c>
      <c r="S339" s="6" t="n">
        <v>11</v>
      </c>
      <c r="T339" s="6" t="n">
        <v>0</v>
      </c>
      <c r="U339" s="7">
        <f>V339/14</f>
        <v/>
      </c>
      <c r="V339" s="6" t="n">
        <v>0</v>
      </c>
      <c r="W339" s="6" t="n">
        <v>14</v>
      </c>
      <c r="X339" s="6" t="n">
        <v>0</v>
      </c>
      <c r="Y339" s="8" t="n">
        <v>1.2</v>
      </c>
      <c r="Z339" s="27" t="inlineStr">
        <is>
          <t>Failed (Client Error (HTTP 400))</t>
        </is>
      </c>
      <c r="AA339" s="2" t="inlineStr">
        <is>
          <t>2026-10-21 00:13:37</t>
        </is>
      </c>
    </row>
    <row r="340" ht="21.95" customHeight="1">
      <c r="A340" s="2" t="n">
        <v>339</v>
      </c>
      <c r="B340" s="31" t="inlineStr">
        <is>
          <t>http://www.eppo.go.th</t>
        </is>
      </c>
      <c r="C340" s="2" t="inlineStr">
        <is>
          <t>หน่วยงานราชการ,องค์กร</t>
        </is>
      </c>
      <c r="D340" s="10">
        <f>F340/71</f>
        <v/>
      </c>
      <c r="E340" s="11">
        <f>IF(D340&gt;=0.9,"ดีเยี่ยม",IF(D340&gt;=0.7,"ดี",IF(D340&gt;=0.5,"พอใช้","ต้องปรับปรุง")))</f>
        <v/>
      </c>
      <c r="F340" s="6">
        <f>J340+N340+R340+V340</f>
        <v/>
      </c>
      <c r="G340" s="6">
        <f>K340+O340+S340+W340</f>
        <v/>
      </c>
      <c r="H340" s="6">
        <f>L340+P340+T340+X340</f>
        <v/>
      </c>
      <c r="I340" s="7">
        <f>J340/37</f>
        <v/>
      </c>
      <c r="J340" s="6" t="n">
        <v>32</v>
      </c>
      <c r="K340" s="6" t="n">
        <v>2</v>
      </c>
      <c r="L340" s="6" t="n">
        <v>3</v>
      </c>
      <c r="M340" s="7">
        <f>N340/9</f>
        <v/>
      </c>
      <c r="N340" s="6" t="n">
        <v>7</v>
      </c>
      <c r="O340" s="6" t="n">
        <v>2</v>
      </c>
      <c r="P340" s="6" t="n">
        <v>0</v>
      </c>
      <c r="Q340" s="7">
        <f>R340/11</f>
        <v/>
      </c>
      <c r="R340" s="6" t="n">
        <v>4</v>
      </c>
      <c r="S340" s="6" t="n">
        <v>2</v>
      </c>
      <c r="T340" s="6" t="n">
        <v>5</v>
      </c>
      <c r="U340" s="7">
        <f>V340/14</f>
        <v/>
      </c>
      <c r="V340" s="6" t="n">
        <v>5</v>
      </c>
      <c r="W340" s="6" t="n">
        <v>9</v>
      </c>
      <c r="X340" s="6" t="n">
        <v>0</v>
      </c>
      <c r="Y340" s="8" t="n">
        <v>34.49</v>
      </c>
      <c r="Z340" s="9" t="inlineStr">
        <is>
          <t>Success</t>
        </is>
      </c>
      <c r="AA340" s="2" t="inlineStr">
        <is>
          <t>2026-10-08 21:04:33</t>
        </is>
      </c>
    </row>
    <row r="341" ht="21.95" customHeight="1">
      <c r="A341" s="2" t="n">
        <v>340</v>
      </c>
      <c r="B341" s="31" t="inlineStr">
        <is>
          <t>http://www.online-station.net</t>
        </is>
      </c>
      <c r="C341" s="2" t="inlineStr">
        <is>
          <t>เกมส์</t>
        </is>
      </c>
      <c r="D341" s="10">
        <f>F341/71</f>
        <v/>
      </c>
      <c r="E341" s="11">
        <f>IF(D341&gt;=0.9,"ดีเยี่ยม",IF(D341&gt;=0.7,"ดี",IF(D341&gt;=0.5,"พอใช้","ต้องปรับปรุง")))</f>
        <v/>
      </c>
      <c r="F341" s="6">
        <f>J341+N341+R341+V341</f>
        <v/>
      </c>
      <c r="G341" s="6">
        <f>K341+O341+S341+W341</f>
        <v/>
      </c>
      <c r="H341" s="6">
        <f>L341+P341+T341+X341</f>
        <v/>
      </c>
      <c r="I341" s="7">
        <f>J341/37</f>
        <v/>
      </c>
      <c r="J341" s="6" t="n">
        <v>33</v>
      </c>
      <c r="K341" s="6" t="n">
        <v>4</v>
      </c>
      <c r="L341" s="6" t="n">
        <v>0</v>
      </c>
      <c r="M341" s="7">
        <f>N341/9</f>
        <v/>
      </c>
      <c r="N341" s="6" t="n">
        <v>7</v>
      </c>
      <c r="O341" s="6" t="n">
        <v>2</v>
      </c>
      <c r="P341" s="6" t="n">
        <v>0</v>
      </c>
      <c r="Q341" s="7">
        <f>R341/11</f>
        <v/>
      </c>
      <c r="R341" s="6" t="n">
        <v>3</v>
      </c>
      <c r="S341" s="6" t="n">
        <v>3</v>
      </c>
      <c r="T341" s="6" t="n">
        <v>5</v>
      </c>
      <c r="U341" s="7">
        <f>V341/14</f>
        <v/>
      </c>
      <c r="V341" s="6" t="n">
        <v>4</v>
      </c>
      <c r="W341" s="6" t="n">
        <v>9</v>
      </c>
      <c r="X341" s="6" t="n">
        <v>1</v>
      </c>
      <c r="Y341" s="8" t="n">
        <v>39.15</v>
      </c>
      <c r="Z341" s="9" t="inlineStr">
        <is>
          <t>Success</t>
        </is>
      </c>
      <c r="AA341" s="2" t="inlineStr">
        <is>
          <t>2026-10-08 21:05:12</t>
        </is>
      </c>
    </row>
    <row r="342" ht="21.95" customHeight="1">
      <c r="A342" s="2" t="n">
        <v>341</v>
      </c>
      <c r="B342" s="31" t="inlineStr">
        <is>
          <t>http://www.isangate.com</t>
        </is>
      </c>
      <c r="C342" s="2" t="inlineStr">
        <is>
          <t>ศิลปะ-วัฒนธรรม</t>
        </is>
      </c>
      <c r="D342" s="10">
        <f>F342/71</f>
        <v/>
      </c>
      <c r="E342" s="11">
        <f>IF(D342&gt;=0.9,"ดีเยี่ยม",IF(D342&gt;=0.7,"ดี",IF(D342&gt;=0.5,"พอใช้","ต้องปรับปรุง")))</f>
        <v/>
      </c>
      <c r="F342" s="6">
        <f>J342+N342+R342+V342</f>
        <v/>
      </c>
      <c r="G342" s="6">
        <f>K342+O342+S342+W342</f>
        <v/>
      </c>
      <c r="H342" s="6">
        <f>L342+P342+T342+X342</f>
        <v/>
      </c>
      <c r="I342" s="7">
        <f>J342/37</f>
        <v/>
      </c>
      <c r="J342" s="6" t="n">
        <v>34</v>
      </c>
      <c r="K342" s="6" t="n">
        <v>2</v>
      </c>
      <c r="L342" s="6" t="n">
        <v>1</v>
      </c>
      <c r="M342" s="7">
        <f>N342/9</f>
        <v/>
      </c>
      <c r="N342" s="6" t="n">
        <v>8</v>
      </c>
      <c r="O342" s="6" t="n">
        <v>1</v>
      </c>
      <c r="P342" s="6" t="n">
        <v>0</v>
      </c>
      <c r="Q342" s="7">
        <f>R342/11</f>
        <v/>
      </c>
      <c r="R342" s="6" t="n">
        <v>5</v>
      </c>
      <c r="S342" s="6" t="n">
        <v>3</v>
      </c>
      <c r="T342" s="6" t="n">
        <v>3</v>
      </c>
      <c r="U342" s="7">
        <f>V342/14</f>
        <v/>
      </c>
      <c r="V342" s="6" t="n">
        <v>2</v>
      </c>
      <c r="W342" s="6" t="n">
        <v>12</v>
      </c>
      <c r="X342" s="6" t="n">
        <v>0</v>
      </c>
      <c r="Y342" s="8" t="n">
        <v>38.45</v>
      </c>
      <c r="Z342" s="9" t="inlineStr">
        <is>
          <t>Success</t>
        </is>
      </c>
      <c r="AA342" s="2" t="inlineStr">
        <is>
          <t>2026-10-08 21:05:50</t>
        </is>
      </c>
    </row>
    <row r="343" ht="21.95" customHeight="1">
      <c r="A343" s="2" t="n">
        <v>342</v>
      </c>
      <c r="B343" s="31" t="inlineStr">
        <is>
          <t>http://kudson.com</t>
        </is>
      </c>
      <c r="C343" s="2" t="inlineStr">
        <is>
          <t>ช๊อปปิ้ง</t>
        </is>
      </c>
      <c r="D343" s="10">
        <f>F343/71</f>
        <v/>
      </c>
      <c r="E343" s="11">
        <f>IF(D343&gt;=0.9,"ดีเยี่ยม",IF(D343&gt;=0.7,"ดี",IF(D343&gt;=0.5,"พอใช้","ต้องปรับปรุง")))</f>
        <v/>
      </c>
      <c r="F343" s="6">
        <f>J343+N343+R343+V343</f>
        <v/>
      </c>
      <c r="G343" s="6">
        <f>K343+O343+S343+W343</f>
        <v/>
      </c>
      <c r="H343" s="6">
        <f>L343+P343+T343+X343</f>
        <v/>
      </c>
      <c r="I343" s="7">
        <f>J343/37</f>
        <v/>
      </c>
      <c r="J343" s="6" t="n">
        <v>34</v>
      </c>
      <c r="K343" s="6" t="n">
        <v>3</v>
      </c>
      <c r="L343" s="6" t="n">
        <v>0</v>
      </c>
      <c r="M343" s="7">
        <f>N343/9</f>
        <v/>
      </c>
      <c r="N343" s="6" t="n">
        <v>7</v>
      </c>
      <c r="O343" s="6" t="n">
        <v>2</v>
      </c>
      <c r="P343" s="6" t="n">
        <v>0</v>
      </c>
      <c r="Q343" s="7">
        <f>R343/11</f>
        <v/>
      </c>
      <c r="R343" s="6" t="n">
        <v>4</v>
      </c>
      <c r="S343" s="6" t="n">
        <v>3</v>
      </c>
      <c r="T343" s="6" t="n">
        <v>4</v>
      </c>
      <c r="U343" s="7">
        <f>V343/14</f>
        <v/>
      </c>
      <c r="V343" s="6" t="n">
        <v>2</v>
      </c>
      <c r="W343" s="6" t="n">
        <v>12</v>
      </c>
      <c r="X343" s="6" t="n">
        <v>0</v>
      </c>
      <c r="Y343" s="8" t="n">
        <v>13.23</v>
      </c>
      <c r="Z343" s="9" t="inlineStr">
        <is>
          <t>Success</t>
        </is>
      </c>
      <c r="AA343" s="2" t="inlineStr">
        <is>
          <t>2026-10-09 12:24:36</t>
        </is>
      </c>
    </row>
    <row r="344" ht="21.95" customHeight="1">
      <c r="A344" s="2" t="n">
        <v>343</v>
      </c>
      <c r="B344" s="31" t="inlineStr">
        <is>
          <t>http://www.krumontree.com</t>
        </is>
      </c>
      <c r="C344" s="2" t="inlineStr">
        <is>
          <t>การศึกษา</t>
        </is>
      </c>
      <c r="D344" s="10">
        <f>F344/71</f>
        <v/>
      </c>
      <c r="E344" s="11">
        <f>IF(D344&gt;=0.9,"ดีเยี่ยม",IF(D344&gt;=0.7,"ดี",IF(D344&gt;=0.5,"พอใช้","ต้องปรับปรุง")))</f>
        <v/>
      </c>
      <c r="F344" s="6">
        <f>J344+N344+R344+V344</f>
        <v/>
      </c>
      <c r="G344" s="6">
        <f>K344+O344+S344+W344</f>
        <v/>
      </c>
      <c r="H344" s="6">
        <f>L344+P344+T344+X344</f>
        <v/>
      </c>
      <c r="I344" s="7">
        <f>J344/37</f>
        <v/>
      </c>
      <c r="J344" s="6" t="n">
        <v>34</v>
      </c>
      <c r="K344" s="6" t="n">
        <v>3</v>
      </c>
      <c r="L344" s="6" t="n">
        <v>0</v>
      </c>
      <c r="M344" s="7">
        <f>N344/9</f>
        <v/>
      </c>
      <c r="N344" s="6" t="n">
        <v>7</v>
      </c>
      <c r="O344" s="6" t="n">
        <v>2</v>
      </c>
      <c r="P344" s="6" t="n">
        <v>0</v>
      </c>
      <c r="Q344" s="7">
        <f>R344/11</f>
        <v/>
      </c>
      <c r="R344" s="6" t="n">
        <v>3</v>
      </c>
      <c r="S344" s="6" t="n">
        <v>3</v>
      </c>
      <c r="T344" s="6" t="n">
        <v>5</v>
      </c>
      <c r="U344" s="7">
        <f>V344/14</f>
        <v/>
      </c>
      <c r="V344" s="6" t="n">
        <v>2</v>
      </c>
      <c r="W344" s="6" t="n">
        <v>12</v>
      </c>
      <c r="X344" s="6" t="n">
        <v>0</v>
      </c>
      <c r="Y344" s="8" t="n">
        <v>50.63</v>
      </c>
      <c r="Z344" s="9" t="inlineStr">
        <is>
          <t>Success</t>
        </is>
      </c>
      <c r="AA344" s="2" t="inlineStr">
        <is>
          <t>2026-10-08 21:07:18</t>
        </is>
      </c>
    </row>
    <row r="345" ht="21.95" customHeight="1">
      <c r="A345" s="2" t="n">
        <v>344</v>
      </c>
      <c r="B345" s="31" t="inlineStr">
        <is>
          <t>http://www.grad.mahidol.ac.th</t>
        </is>
      </c>
      <c r="C345" s="2" t="inlineStr">
        <is>
          <t>การศึกษา</t>
        </is>
      </c>
      <c r="D345" s="25">
        <f>F345/71</f>
        <v/>
      </c>
      <c r="E345" s="26">
        <f>IF(D345&gt;=0.9,"ดีเยี่ยม",IF(D345&gt;=0.7,"ดี",IF(D345&gt;=0.5,"พอใช้","ต้องปรับปรุง")))</f>
        <v/>
      </c>
      <c r="F345" s="6">
        <f>J345+N345+R345+V345</f>
        <v/>
      </c>
      <c r="G345" s="6">
        <f>K345+O345+S345+W345</f>
        <v/>
      </c>
      <c r="H345" s="6">
        <f>L345+P345+T345+X345</f>
        <v/>
      </c>
      <c r="I345" s="7">
        <f>J345/37</f>
        <v/>
      </c>
      <c r="J345" s="6" t="n">
        <v>0</v>
      </c>
      <c r="K345" s="6" t="n">
        <v>37</v>
      </c>
      <c r="L345" s="6" t="n">
        <v>0</v>
      </c>
      <c r="M345" s="7">
        <f>N345/9</f>
        <v/>
      </c>
      <c r="N345" s="6" t="n">
        <v>0</v>
      </c>
      <c r="O345" s="6" t="n">
        <v>9</v>
      </c>
      <c r="P345" s="6" t="n">
        <v>0</v>
      </c>
      <c r="Q345" s="7">
        <f>R345/11</f>
        <v/>
      </c>
      <c r="R345" s="6" t="n">
        <v>0</v>
      </c>
      <c r="S345" s="6" t="n">
        <v>11</v>
      </c>
      <c r="T345" s="6" t="n">
        <v>0</v>
      </c>
      <c r="U345" s="7">
        <f>V345/14</f>
        <v/>
      </c>
      <c r="V345" s="6" t="n">
        <v>0</v>
      </c>
      <c r="W345" s="6" t="n">
        <v>14</v>
      </c>
      <c r="X345" s="6" t="n">
        <v>0</v>
      </c>
      <c r="Y345" s="8" t="n">
        <v>24.07</v>
      </c>
      <c r="Z345" s="27" t="inlineStr">
        <is>
          <t>Failed (Timeout (เว็บไม่ตอบ))</t>
        </is>
      </c>
      <c r="AA345" s="2" t="inlineStr">
        <is>
          <t>2026-10-21 00:13:37</t>
        </is>
      </c>
    </row>
    <row r="346" ht="21.95" customHeight="1">
      <c r="A346" s="2" t="n">
        <v>345</v>
      </c>
      <c r="B346" s="31" t="inlineStr">
        <is>
          <t>http://www.sacthailand.com</t>
        </is>
      </c>
      <c r="C346" s="2" t="inlineStr">
        <is>
          <t>ช๊อปปิ้ง</t>
        </is>
      </c>
      <c r="D346" s="10">
        <f>F346/71</f>
        <v/>
      </c>
      <c r="E346" s="11">
        <f>IF(D346&gt;=0.9,"ดีเยี่ยม",IF(D346&gt;=0.7,"ดี",IF(D346&gt;=0.5,"พอใช้","ต้องปรับปรุง")))</f>
        <v/>
      </c>
      <c r="F346" s="6">
        <f>J346+N346+R346+V346</f>
        <v/>
      </c>
      <c r="G346" s="6">
        <f>K346+O346+S346+W346</f>
        <v/>
      </c>
      <c r="H346" s="6">
        <f>L346+P346+T346+X346</f>
        <v/>
      </c>
      <c r="I346" s="7">
        <f>J346/37</f>
        <v/>
      </c>
      <c r="J346" s="6" t="n">
        <v>35</v>
      </c>
      <c r="K346" s="6" t="n">
        <v>2</v>
      </c>
      <c r="L346" s="6" t="n">
        <v>0</v>
      </c>
      <c r="M346" s="7">
        <f>N346/9</f>
        <v/>
      </c>
      <c r="N346" s="6" t="n">
        <v>7</v>
      </c>
      <c r="O346" s="6" t="n">
        <v>2</v>
      </c>
      <c r="P346" s="6" t="n">
        <v>0</v>
      </c>
      <c r="Q346" s="7">
        <f>R346/11</f>
        <v/>
      </c>
      <c r="R346" s="6" t="n">
        <v>5</v>
      </c>
      <c r="S346" s="6" t="n">
        <v>3</v>
      </c>
      <c r="T346" s="6" t="n">
        <v>3</v>
      </c>
      <c r="U346" s="7">
        <f>V346/14</f>
        <v/>
      </c>
      <c r="V346" s="6" t="n">
        <v>2</v>
      </c>
      <c r="W346" s="6" t="n">
        <v>12</v>
      </c>
      <c r="X346" s="6" t="n">
        <v>0</v>
      </c>
      <c r="Y346" s="8" t="n">
        <v>38.68</v>
      </c>
      <c r="Z346" s="9" t="inlineStr">
        <is>
          <t>Success</t>
        </is>
      </c>
      <c r="AA346" s="2" t="inlineStr">
        <is>
          <t>2026-10-08 21:09:08</t>
        </is>
      </c>
    </row>
    <row r="347" ht="21.95" customHeight="1">
      <c r="A347" s="2" t="n">
        <v>346</v>
      </c>
      <c r="B347" s="31" t="inlineStr">
        <is>
          <t>http://www.host4thai.com</t>
        </is>
      </c>
      <c r="C347" s="2" t="inlineStr">
        <is>
          <t>อินเทอร์เน็ต</t>
        </is>
      </c>
      <c r="D347" s="10">
        <f>F347/71</f>
        <v/>
      </c>
      <c r="E347" s="11">
        <f>IF(D347&gt;=0.9,"ดีเยี่ยม",IF(D347&gt;=0.7,"ดี",IF(D347&gt;=0.5,"พอใช้","ต้องปรับปรุง")))</f>
        <v/>
      </c>
      <c r="F347" s="6">
        <f>J347+N347+R347+V347</f>
        <v/>
      </c>
      <c r="G347" s="6">
        <f>K347+O347+S347+W347</f>
        <v/>
      </c>
      <c r="H347" s="6">
        <f>L347+P347+T347+X347</f>
        <v/>
      </c>
      <c r="I347" s="7">
        <f>J347/37</f>
        <v/>
      </c>
      <c r="J347" s="6" t="n">
        <v>30</v>
      </c>
      <c r="K347" s="6" t="n">
        <v>6</v>
      </c>
      <c r="L347" s="6" t="n">
        <v>1</v>
      </c>
      <c r="M347" s="7">
        <f>N347/9</f>
        <v/>
      </c>
      <c r="N347" s="6" t="n">
        <v>7</v>
      </c>
      <c r="O347" s="6" t="n">
        <v>2</v>
      </c>
      <c r="P347" s="6" t="n">
        <v>0</v>
      </c>
      <c r="Q347" s="7">
        <f>R347/11</f>
        <v/>
      </c>
      <c r="R347" s="6" t="n">
        <v>5</v>
      </c>
      <c r="S347" s="6" t="n">
        <v>3</v>
      </c>
      <c r="T347" s="6" t="n">
        <v>3</v>
      </c>
      <c r="U347" s="7">
        <f>V347/14</f>
        <v/>
      </c>
      <c r="V347" s="6" t="n">
        <v>2</v>
      </c>
      <c r="W347" s="6" t="n">
        <v>12</v>
      </c>
      <c r="X347" s="6" t="n">
        <v>0</v>
      </c>
      <c r="Y347" s="8" t="n">
        <v>58.65</v>
      </c>
      <c r="Z347" s="9" t="inlineStr">
        <is>
          <t>Success</t>
        </is>
      </c>
      <c r="AA347" s="2" t="inlineStr">
        <is>
          <t>2026-10-08 21:10:06</t>
        </is>
      </c>
    </row>
    <row r="348" ht="21.95" customHeight="1">
      <c r="A348" s="2" t="n">
        <v>347</v>
      </c>
      <c r="B348" s="31" t="inlineStr">
        <is>
          <t>http://www.bn.ac.th</t>
        </is>
      </c>
      <c r="C348" s="2" t="inlineStr">
        <is>
          <t>การศึกษา</t>
        </is>
      </c>
      <c r="D348" s="10">
        <f>F348/71</f>
        <v/>
      </c>
      <c r="E348" s="11">
        <f>IF(D348&gt;=0.9,"ดีเยี่ยม",IF(D348&gt;=0.7,"ดี",IF(D348&gt;=0.5,"พอใช้","ต้องปรับปรุง")))</f>
        <v/>
      </c>
      <c r="F348" s="6">
        <f>J348+N348+R348+V348</f>
        <v/>
      </c>
      <c r="G348" s="6">
        <f>K348+O348+S348+W348</f>
        <v/>
      </c>
      <c r="H348" s="6">
        <f>L348+P348+T348+X348</f>
        <v/>
      </c>
      <c r="I348" s="7">
        <f>J348/37</f>
        <v/>
      </c>
      <c r="J348" s="6" t="n">
        <v>32</v>
      </c>
      <c r="K348" s="6" t="n">
        <v>3</v>
      </c>
      <c r="L348" s="6" t="n">
        <v>2</v>
      </c>
      <c r="M348" s="7">
        <f>N348/9</f>
        <v/>
      </c>
      <c r="N348" s="6" t="n">
        <v>8</v>
      </c>
      <c r="O348" s="6" t="n">
        <v>1</v>
      </c>
      <c r="P348" s="6" t="n">
        <v>0</v>
      </c>
      <c r="Q348" s="7">
        <f>R348/11</f>
        <v/>
      </c>
      <c r="R348" s="6" t="n">
        <v>3</v>
      </c>
      <c r="S348" s="6" t="n">
        <v>3</v>
      </c>
      <c r="T348" s="6" t="n">
        <v>5</v>
      </c>
      <c r="U348" s="7">
        <f>V348/14</f>
        <v/>
      </c>
      <c r="V348" s="6" t="n">
        <v>2</v>
      </c>
      <c r="W348" s="6" t="n">
        <v>12</v>
      </c>
      <c r="X348" s="6" t="n">
        <v>0</v>
      </c>
      <c r="Y348" s="8" t="n">
        <v>42.9</v>
      </c>
      <c r="Z348" s="9" t="inlineStr">
        <is>
          <t>Success</t>
        </is>
      </c>
      <c r="AA348" s="2" t="inlineStr">
        <is>
          <t>2026-10-08 21:10:49</t>
        </is>
      </c>
    </row>
    <row r="349" ht="21.95" customHeight="1">
      <c r="A349" s="2" t="n">
        <v>348</v>
      </c>
      <c r="B349" s="31" t="inlineStr">
        <is>
          <t>http://www.nonithailand.com</t>
        </is>
      </c>
      <c r="C349" s="2" t="inlineStr">
        <is>
          <t>สุขภาพ</t>
        </is>
      </c>
      <c r="D349" s="4">
        <f>F349/71</f>
        <v/>
      </c>
      <c r="E349" s="5">
        <f>IF(D349&gt;=0.9,"ดีเยี่ยม",IF(D349&gt;=0.7,"ดี",IF(D349&gt;=0.5,"พอใช้","ต้องปรับปรุง")))</f>
        <v/>
      </c>
      <c r="F349" s="6">
        <f>J349+N349+R349+V349</f>
        <v/>
      </c>
      <c r="G349" s="6">
        <f>K349+O349+S349+W349</f>
        <v/>
      </c>
      <c r="H349" s="6">
        <f>L349+P349+T349+X349</f>
        <v/>
      </c>
      <c r="I349" s="7">
        <f>J349/37</f>
        <v/>
      </c>
      <c r="J349" s="6" t="n">
        <v>37</v>
      </c>
      <c r="K349" s="6" t="n">
        <v>0</v>
      </c>
      <c r="L349" s="6" t="n">
        <v>0</v>
      </c>
      <c r="M349" s="7">
        <f>N349/9</f>
        <v/>
      </c>
      <c r="N349" s="6" t="n">
        <v>9</v>
      </c>
      <c r="O349" s="6" t="n">
        <v>0</v>
      </c>
      <c r="P349" s="6" t="n">
        <v>0</v>
      </c>
      <c r="Q349" s="7">
        <f>R349/11</f>
        <v/>
      </c>
      <c r="R349" s="6" t="n">
        <v>3</v>
      </c>
      <c r="S349" s="6" t="n">
        <v>3</v>
      </c>
      <c r="T349" s="6" t="n">
        <v>5</v>
      </c>
      <c r="U349" s="7">
        <f>V349/14</f>
        <v/>
      </c>
      <c r="V349" s="6" t="n">
        <v>2</v>
      </c>
      <c r="W349" s="6" t="n">
        <v>12</v>
      </c>
      <c r="X349" s="6" t="n">
        <v>0</v>
      </c>
      <c r="Y349" s="8" t="n">
        <v>35.18</v>
      </c>
      <c r="Z349" s="9" t="inlineStr">
        <is>
          <t>Success</t>
        </is>
      </c>
      <c r="AA349" s="2" t="inlineStr">
        <is>
          <t>2026-10-09 12:26:01</t>
        </is>
      </c>
    </row>
    <row r="350" ht="21.95" customHeight="1">
      <c r="A350" s="2" t="n">
        <v>349</v>
      </c>
      <c r="B350" s="31" t="inlineStr">
        <is>
          <t>http://www.thailife.com</t>
        </is>
      </c>
      <c r="C350" s="2" t="inlineStr">
        <is>
          <t>ธนาคาร-การเงิน</t>
        </is>
      </c>
      <c r="D350" s="10">
        <f>F350/71</f>
        <v/>
      </c>
      <c r="E350" s="11">
        <f>IF(D350&gt;=0.9,"ดีเยี่ยม",IF(D350&gt;=0.7,"ดี",IF(D350&gt;=0.5,"พอใช้","ต้องปรับปรุง")))</f>
        <v/>
      </c>
      <c r="F350" s="6">
        <f>J350+N350+R350+V350</f>
        <v/>
      </c>
      <c r="G350" s="6">
        <f>K350+O350+S350+W350</f>
        <v/>
      </c>
      <c r="H350" s="6">
        <f>L350+P350+T350+X350</f>
        <v/>
      </c>
      <c r="I350" s="7">
        <f>J350/37</f>
        <v/>
      </c>
      <c r="J350" s="6" t="n">
        <v>34</v>
      </c>
      <c r="K350" s="6" t="n">
        <v>3</v>
      </c>
      <c r="L350" s="6" t="n">
        <v>0</v>
      </c>
      <c r="M350" s="7">
        <f>N350/9</f>
        <v/>
      </c>
      <c r="N350" s="6" t="n">
        <v>8</v>
      </c>
      <c r="O350" s="6" t="n">
        <v>1</v>
      </c>
      <c r="P350" s="6" t="n">
        <v>0</v>
      </c>
      <c r="Q350" s="7">
        <f>R350/11</f>
        <v/>
      </c>
      <c r="R350" s="6" t="n">
        <v>2</v>
      </c>
      <c r="S350" s="6" t="n">
        <v>4</v>
      </c>
      <c r="T350" s="6" t="n">
        <v>5</v>
      </c>
      <c r="U350" s="7">
        <f>V350/14</f>
        <v/>
      </c>
      <c r="V350" s="6" t="n">
        <v>2</v>
      </c>
      <c r="W350" s="6" t="n">
        <v>12</v>
      </c>
      <c r="X350" s="6" t="n">
        <v>0</v>
      </c>
      <c r="Y350" s="8" t="n">
        <v>35.75</v>
      </c>
      <c r="Z350" s="9" t="inlineStr">
        <is>
          <t>Success</t>
        </is>
      </c>
      <c r="AA350" s="2" t="inlineStr">
        <is>
          <t>2026-10-08 21:12:05</t>
        </is>
      </c>
    </row>
    <row r="351" ht="21.95" customHeight="1">
      <c r="A351" s="2" t="n">
        <v>350</v>
      </c>
      <c r="B351" s="31" t="inlineStr">
        <is>
          <t>http://www.b4u2.com</t>
        </is>
      </c>
      <c r="C351" s="2" t="inlineStr">
        <is>
          <t>อสังหาริมทรัพย์-ก่อสร้าง</t>
        </is>
      </c>
      <c r="D351" s="25">
        <f>F351/71</f>
        <v/>
      </c>
      <c r="E351" s="26">
        <f>IF(D351&gt;=0.9,"ดีเยี่ยม",IF(D351&gt;=0.7,"ดี",IF(D351&gt;=0.5,"พอใช้","ต้องปรับปรุง")))</f>
        <v/>
      </c>
      <c r="F351" s="6">
        <f>J351+N351+R351+V351</f>
        <v/>
      </c>
      <c r="G351" s="6">
        <f>K351+O351+S351+W351</f>
        <v/>
      </c>
      <c r="H351" s="6">
        <f>L351+P351+T351+X351</f>
        <v/>
      </c>
      <c r="I351" s="7">
        <f>J351/37</f>
        <v/>
      </c>
      <c r="J351" s="6" t="n">
        <v>0</v>
      </c>
      <c r="K351" s="6" t="n">
        <v>37</v>
      </c>
      <c r="L351" s="6" t="n">
        <v>0</v>
      </c>
      <c r="M351" s="7">
        <f>N351/9</f>
        <v/>
      </c>
      <c r="N351" s="6" t="n">
        <v>0</v>
      </c>
      <c r="O351" s="6" t="n">
        <v>9</v>
      </c>
      <c r="P351" s="6" t="n">
        <v>0</v>
      </c>
      <c r="Q351" s="7">
        <f>R351/11</f>
        <v/>
      </c>
      <c r="R351" s="6" t="n">
        <v>0</v>
      </c>
      <c r="S351" s="6" t="n">
        <v>11</v>
      </c>
      <c r="T351" s="6" t="n">
        <v>0</v>
      </c>
      <c r="U351" s="7">
        <f>V351/14</f>
        <v/>
      </c>
      <c r="V351" s="6" t="n">
        <v>0</v>
      </c>
      <c r="W351" s="6" t="n">
        <v>14</v>
      </c>
      <c r="X351" s="6" t="n">
        <v>0</v>
      </c>
      <c r="Y351" s="8" t="n">
        <v>0.4</v>
      </c>
      <c r="Z351" s="27" t="inlineStr">
        <is>
          <t>Failed (โดนบล็อก / เข้าถึงไม่ได้ (HTTP 403))</t>
        </is>
      </c>
      <c r="AA351" s="2" t="inlineStr">
        <is>
          <t>2026-10-21 00:13:37</t>
        </is>
      </c>
    </row>
    <row r="352" ht="21.95" customHeight="1">
      <c r="A352" s="2" t="n">
        <v>351</v>
      </c>
      <c r="B352" s="31" t="inlineStr">
        <is>
          <t>http://www.chibimonchronicle.net</t>
        </is>
      </c>
      <c r="C352" s="2" t="inlineStr">
        <is>
          <t>บันเทิง</t>
        </is>
      </c>
      <c r="D352" s="4">
        <f>F352/71</f>
        <v/>
      </c>
      <c r="E352" s="5">
        <f>IF(D352&gt;=0.9,"ดีเยี่ยม",IF(D352&gt;=0.7,"ดี",IF(D352&gt;=0.5,"พอใช้","ต้องปรับปรุง")))</f>
        <v/>
      </c>
      <c r="F352" s="6">
        <f>J352+N352+R352+V352</f>
        <v/>
      </c>
      <c r="G352" s="6">
        <f>K352+O352+S352+W352</f>
        <v/>
      </c>
      <c r="H352" s="6">
        <f>L352+P352+T352+X352</f>
        <v/>
      </c>
      <c r="I352" s="7">
        <f>J352/37</f>
        <v/>
      </c>
      <c r="J352" s="6" t="n">
        <v>37</v>
      </c>
      <c r="K352" s="6" t="n">
        <v>0</v>
      </c>
      <c r="L352" s="6" t="n">
        <v>0</v>
      </c>
      <c r="M352" s="7">
        <f>N352/9</f>
        <v/>
      </c>
      <c r="N352" s="6" t="n">
        <v>9</v>
      </c>
      <c r="O352" s="6" t="n">
        <v>0</v>
      </c>
      <c r="P352" s="6" t="n">
        <v>0</v>
      </c>
      <c r="Q352" s="7">
        <f>R352/11</f>
        <v/>
      </c>
      <c r="R352" s="6" t="n">
        <v>3</v>
      </c>
      <c r="S352" s="6" t="n">
        <v>3</v>
      </c>
      <c r="T352" s="6" t="n">
        <v>5</v>
      </c>
      <c r="U352" s="7">
        <f>V352/14</f>
        <v/>
      </c>
      <c r="V352" s="6" t="n">
        <v>2</v>
      </c>
      <c r="W352" s="6" t="n">
        <v>12</v>
      </c>
      <c r="X352" s="6" t="n">
        <v>0</v>
      </c>
      <c r="Y352" s="8" t="n">
        <v>34.91</v>
      </c>
      <c r="Z352" s="9" t="inlineStr">
        <is>
          <t>Success</t>
        </is>
      </c>
      <c r="AA352" s="2" t="inlineStr">
        <is>
          <t>2026-10-09 12:26:36</t>
        </is>
      </c>
    </row>
    <row r="353" ht="21.95" customHeight="1">
      <c r="A353" s="2" t="n">
        <v>352</v>
      </c>
      <c r="B353" s="31" t="inlineStr">
        <is>
          <t>http://www.seal2thai.org</t>
        </is>
      </c>
      <c r="C353" s="2" t="inlineStr">
        <is>
          <t>การศึกษา</t>
        </is>
      </c>
      <c r="D353" s="10">
        <f>F353/71</f>
        <v/>
      </c>
      <c r="E353" s="11">
        <f>IF(D353&gt;=0.9,"ดีเยี่ยม",IF(D353&gt;=0.7,"ดี",IF(D353&gt;=0.5,"พอใช้","ต้องปรับปรุง")))</f>
        <v/>
      </c>
      <c r="F353" s="6">
        <f>J353+N353+R353+V353</f>
        <v/>
      </c>
      <c r="G353" s="6">
        <f>K353+O353+S353+W353</f>
        <v/>
      </c>
      <c r="H353" s="6">
        <f>L353+P353+T353+X353</f>
        <v/>
      </c>
      <c r="I353" s="7">
        <f>J353/37</f>
        <v/>
      </c>
      <c r="J353" s="6" t="n">
        <v>32</v>
      </c>
      <c r="K353" s="6" t="n">
        <v>4</v>
      </c>
      <c r="L353" s="6" t="n">
        <v>1</v>
      </c>
      <c r="M353" s="7">
        <f>N353/9</f>
        <v/>
      </c>
      <c r="N353" s="6" t="n">
        <v>7</v>
      </c>
      <c r="O353" s="6" t="n">
        <v>1</v>
      </c>
      <c r="P353" s="6" t="n">
        <v>1</v>
      </c>
      <c r="Q353" s="7">
        <f>R353/11</f>
        <v/>
      </c>
      <c r="R353" s="6" t="n">
        <v>3</v>
      </c>
      <c r="S353" s="6" t="n">
        <v>3</v>
      </c>
      <c r="T353" s="6" t="n">
        <v>5</v>
      </c>
      <c r="U353" s="7">
        <f>V353/14</f>
        <v/>
      </c>
      <c r="V353" s="6" t="n">
        <v>2</v>
      </c>
      <c r="W353" s="6" t="n">
        <v>12</v>
      </c>
      <c r="X353" s="6" t="n">
        <v>0</v>
      </c>
      <c r="Y353" s="8" t="n">
        <v>34.62</v>
      </c>
      <c r="Z353" s="9" t="inlineStr">
        <is>
          <t>Success</t>
        </is>
      </c>
      <c r="AA353" s="2" t="inlineStr">
        <is>
          <t>2026-10-08 21:14:45</t>
        </is>
      </c>
    </row>
    <row r="354" ht="21.95" customHeight="1">
      <c r="A354" s="2" t="n">
        <v>353</v>
      </c>
      <c r="B354" s="31" t="inlineStr">
        <is>
          <t>http://www.thailandmaps.net</t>
        </is>
      </c>
      <c r="C354" s="2" t="inlineStr">
        <is>
          <t>ท่องเที่ยว</t>
        </is>
      </c>
      <c r="D354" s="4">
        <f>F354/71</f>
        <v/>
      </c>
      <c r="E354" s="5">
        <f>IF(D354&gt;=0.9,"ดีเยี่ยม",IF(D354&gt;=0.7,"ดี",IF(D354&gt;=0.5,"พอใช้","ต้องปรับปรุง")))</f>
        <v/>
      </c>
      <c r="F354" s="6">
        <f>J354+N354+R354+V354</f>
        <v/>
      </c>
      <c r="G354" s="6">
        <f>K354+O354+S354+W354</f>
        <v/>
      </c>
      <c r="H354" s="6">
        <f>L354+P354+T354+X354</f>
        <v/>
      </c>
      <c r="I354" s="7">
        <f>J354/37</f>
        <v/>
      </c>
      <c r="J354" s="6" t="n">
        <v>37</v>
      </c>
      <c r="K354" s="6" t="n">
        <v>0</v>
      </c>
      <c r="L354" s="6" t="n">
        <v>0</v>
      </c>
      <c r="M354" s="7">
        <f>N354/9</f>
        <v/>
      </c>
      <c r="N354" s="6" t="n">
        <v>9</v>
      </c>
      <c r="O354" s="6" t="n">
        <v>0</v>
      </c>
      <c r="P354" s="6" t="n">
        <v>0</v>
      </c>
      <c r="Q354" s="7">
        <f>R354/11</f>
        <v/>
      </c>
      <c r="R354" s="6" t="n">
        <v>5</v>
      </c>
      <c r="S354" s="6" t="n">
        <v>3</v>
      </c>
      <c r="T354" s="6" t="n">
        <v>3</v>
      </c>
      <c r="U354" s="7">
        <f>V354/14</f>
        <v/>
      </c>
      <c r="V354" s="6" t="n">
        <v>2</v>
      </c>
      <c r="W354" s="6" t="n">
        <v>12</v>
      </c>
      <c r="X354" s="6" t="n">
        <v>0</v>
      </c>
      <c r="Y354" s="8" t="n">
        <v>35.01</v>
      </c>
      <c r="Z354" s="9" t="inlineStr">
        <is>
          <t>Success</t>
        </is>
      </c>
      <c r="AA354" s="2" t="inlineStr">
        <is>
          <t>2026-10-09 12:27:11</t>
        </is>
      </c>
    </row>
    <row r="355" ht="21.95" customHeight="1">
      <c r="A355" s="2" t="n">
        <v>354</v>
      </c>
      <c r="B355" s="31" t="inlineStr">
        <is>
          <t>http://www.ocsb.go.th</t>
        </is>
      </c>
      <c r="C355" s="2" t="inlineStr">
        <is>
          <t>หน่วยงานราชการ,องค์กร</t>
        </is>
      </c>
      <c r="D355" s="4">
        <f>F355/71</f>
        <v/>
      </c>
      <c r="E355" s="5">
        <f>IF(D355&gt;=0.9,"ดีเยี่ยม",IF(D355&gt;=0.7,"ดี",IF(D355&gt;=0.5,"พอใช้","ต้องปรับปรุง")))</f>
        <v/>
      </c>
      <c r="F355" s="6">
        <f>J355+N355+R355+V355</f>
        <v/>
      </c>
      <c r="G355" s="6">
        <f>K355+O355+S355+W355</f>
        <v/>
      </c>
      <c r="H355" s="6">
        <f>L355+P355+T355+X355</f>
        <v/>
      </c>
      <c r="I355" s="7">
        <f>J355/37</f>
        <v/>
      </c>
      <c r="J355" s="6" t="n">
        <v>34</v>
      </c>
      <c r="K355" s="6" t="n">
        <v>3</v>
      </c>
      <c r="L355" s="6" t="n">
        <v>0</v>
      </c>
      <c r="M355" s="7">
        <f>N355/9</f>
        <v/>
      </c>
      <c r="N355" s="6" t="n">
        <v>9</v>
      </c>
      <c r="O355" s="6" t="n">
        <v>0</v>
      </c>
      <c r="P355" s="6" t="n">
        <v>0</v>
      </c>
      <c r="Q355" s="7">
        <f>R355/11</f>
        <v/>
      </c>
      <c r="R355" s="6" t="n">
        <v>5</v>
      </c>
      <c r="S355" s="6" t="n">
        <v>3</v>
      </c>
      <c r="T355" s="6" t="n">
        <v>3</v>
      </c>
      <c r="U355" s="7">
        <f>V355/14</f>
        <v/>
      </c>
      <c r="V355" s="6" t="n">
        <v>3</v>
      </c>
      <c r="W355" s="6" t="n">
        <v>10</v>
      </c>
      <c r="X355" s="6" t="n">
        <v>1</v>
      </c>
      <c r="Y355" s="8" t="n">
        <v>77.45999999999999</v>
      </c>
      <c r="Z355" s="9" t="inlineStr">
        <is>
          <t>Success</t>
        </is>
      </c>
      <c r="AA355" s="2" t="inlineStr">
        <is>
          <t>2026-10-08 21:16:38</t>
        </is>
      </c>
    </row>
    <row r="356" ht="21.95" customHeight="1">
      <c r="A356" s="2" t="n">
        <v>355</v>
      </c>
      <c r="B356" s="31" t="inlineStr">
        <is>
          <t>http://www.glo.or.th</t>
        </is>
      </c>
      <c r="C356" s="2" t="inlineStr">
        <is>
          <t>หน่วยงานราชการ,องค์กร</t>
        </is>
      </c>
      <c r="D356" s="4">
        <f>F356/71</f>
        <v/>
      </c>
      <c r="E356" s="5">
        <f>IF(D356&gt;=0.9,"ดีเยี่ยม",IF(D356&gt;=0.7,"ดี",IF(D356&gt;=0.5,"พอใช้","ต้องปรับปรุง")))</f>
        <v/>
      </c>
      <c r="F356" s="6">
        <f>J356+N356+R356+V356</f>
        <v/>
      </c>
      <c r="G356" s="6">
        <f>K356+O356+S356+W356</f>
        <v/>
      </c>
      <c r="H356" s="6">
        <f>L356+P356+T356+X356</f>
        <v/>
      </c>
      <c r="I356" s="7">
        <f>J356/37</f>
        <v/>
      </c>
      <c r="J356" s="6" t="n">
        <v>34</v>
      </c>
      <c r="K356" s="6" t="n">
        <v>2</v>
      </c>
      <c r="L356" s="6" t="n">
        <v>1</v>
      </c>
      <c r="M356" s="7">
        <f>N356/9</f>
        <v/>
      </c>
      <c r="N356" s="6" t="n">
        <v>9</v>
      </c>
      <c r="O356" s="6" t="n">
        <v>0</v>
      </c>
      <c r="P356" s="6" t="n">
        <v>0</v>
      </c>
      <c r="Q356" s="7">
        <f>R356/11</f>
        <v/>
      </c>
      <c r="R356" s="6" t="n">
        <v>5</v>
      </c>
      <c r="S356" s="6" t="n">
        <v>2</v>
      </c>
      <c r="T356" s="6" t="n">
        <v>4</v>
      </c>
      <c r="U356" s="7">
        <f>V356/14</f>
        <v/>
      </c>
      <c r="V356" s="6" t="n">
        <v>4</v>
      </c>
      <c r="W356" s="6" t="n">
        <v>8</v>
      </c>
      <c r="X356" s="6" t="n">
        <v>2</v>
      </c>
      <c r="Y356" s="8" t="n">
        <v>54.33</v>
      </c>
      <c r="Z356" s="9" t="inlineStr">
        <is>
          <t>Success</t>
        </is>
      </c>
      <c r="AA356" s="2" t="inlineStr">
        <is>
          <t>2026-10-08 21:17:33</t>
        </is>
      </c>
    </row>
    <row r="357" ht="21.95" customHeight="1">
      <c r="A357" s="2" t="n">
        <v>356</v>
      </c>
      <c r="B357" s="31" t="inlineStr">
        <is>
          <t>http://www.thanachard.net</t>
        </is>
      </c>
      <c r="C357" s="2" t="inlineStr">
        <is>
          <t>การศึกษา</t>
        </is>
      </c>
      <c r="D357" s="25">
        <f>F357/71</f>
        <v/>
      </c>
      <c r="E357" s="26">
        <f>IF(D357&gt;=0.9,"ดีเยี่ยม",IF(D357&gt;=0.7,"ดี",IF(D357&gt;=0.5,"พอใช้","ต้องปรับปรุง")))</f>
        <v/>
      </c>
      <c r="F357" s="6">
        <f>J357+N357+R357+V357</f>
        <v/>
      </c>
      <c r="G357" s="6">
        <f>K357+O357+S357+W357</f>
        <v/>
      </c>
      <c r="H357" s="6">
        <f>L357+P357+T357+X357</f>
        <v/>
      </c>
      <c r="I357" s="7">
        <f>J357/37</f>
        <v/>
      </c>
      <c r="J357" s="6" t="n">
        <v>0</v>
      </c>
      <c r="K357" s="6" t="n">
        <v>37</v>
      </c>
      <c r="L357" s="6" t="n">
        <v>0</v>
      </c>
      <c r="M357" s="7">
        <f>N357/9</f>
        <v/>
      </c>
      <c r="N357" s="6" t="n">
        <v>0</v>
      </c>
      <c r="O357" s="6" t="n">
        <v>9</v>
      </c>
      <c r="P357" s="6" t="n">
        <v>0</v>
      </c>
      <c r="Q357" s="7">
        <f>R357/11</f>
        <v/>
      </c>
      <c r="R357" s="6" t="n">
        <v>0</v>
      </c>
      <c r="S357" s="6" t="n">
        <v>11</v>
      </c>
      <c r="T357" s="6" t="n">
        <v>0</v>
      </c>
      <c r="U357" s="7">
        <f>V357/14</f>
        <v/>
      </c>
      <c r="V357" s="6" t="n">
        <v>0</v>
      </c>
      <c r="W357" s="6" t="n">
        <v>14</v>
      </c>
      <c r="X357" s="6" t="n">
        <v>0</v>
      </c>
      <c r="Y357" s="8" t="n">
        <v>0.06</v>
      </c>
      <c r="Z357" s="27" t="inlineStr">
        <is>
          <t>Failed (จอขาว / ไม่มีเนื้อหา (Blank Screen))</t>
        </is>
      </c>
      <c r="AA357" s="2" t="inlineStr">
        <is>
          <t>2026-10-21 00:13:37</t>
        </is>
      </c>
    </row>
    <row r="358" ht="21.95" customHeight="1">
      <c r="A358" s="2" t="n">
        <v>357</v>
      </c>
      <c r="B358" s="31" t="inlineStr">
        <is>
          <t>http://www.thaiweddingstory.com</t>
        </is>
      </c>
      <c r="C358" s="2" t="inlineStr">
        <is>
          <t>บุคคล-สังคม</t>
        </is>
      </c>
      <c r="D358" s="10">
        <f>F358/71</f>
        <v/>
      </c>
      <c r="E358" s="11">
        <f>IF(D358&gt;=0.9,"ดีเยี่ยม",IF(D358&gt;=0.7,"ดี",IF(D358&gt;=0.5,"พอใช้","ต้องปรับปรุง")))</f>
        <v/>
      </c>
      <c r="F358" s="6">
        <f>J358+N358+R358+V358</f>
        <v/>
      </c>
      <c r="G358" s="6">
        <f>K358+O358+S358+W358</f>
        <v/>
      </c>
      <c r="H358" s="6">
        <f>L358+P358+T358+X358</f>
        <v/>
      </c>
      <c r="I358" s="7">
        <f>J358/37</f>
        <v/>
      </c>
      <c r="J358" s="6" t="n">
        <v>36</v>
      </c>
      <c r="K358" s="6" t="n">
        <v>1</v>
      </c>
      <c r="L358" s="6" t="n">
        <v>0</v>
      </c>
      <c r="M358" s="7">
        <f>N358/9</f>
        <v/>
      </c>
      <c r="N358" s="6" t="n">
        <v>9</v>
      </c>
      <c r="O358" s="6" t="n">
        <v>0</v>
      </c>
      <c r="P358" s="6" t="n">
        <v>0</v>
      </c>
      <c r="Q358" s="7">
        <f>R358/11</f>
        <v/>
      </c>
      <c r="R358" s="6" t="n">
        <v>4</v>
      </c>
      <c r="S358" s="6" t="n">
        <v>0</v>
      </c>
      <c r="T358" s="6" t="n">
        <v>7</v>
      </c>
      <c r="U358" s="7">
        <f>V358/14</f>
        <v/>
      </c>
      <c r="V358" s="6" t="n">
        <v>0</v>
      </c>
      <c r="W358" s="6" t="n">
        <v>0</v>
      </c>
      <c r="X358" s="6" t="n">
        <v>14</v>
      </c>
      <c r="Y358" s="8" t="n">
        <v>35.06</v>
      </c>
      <c r="Z358" s="9" t="inlineStr">
        <is>
          <t>Success</t>
        </is>
      </c>
      <c r="AA358" s="2" t="inlineStr">
        <is>
          <t>2026-10-09 12:27:46</t>
        </is>
      </c>
    </row>
    <row r="359" ht="21.95" customHeight="1">
      <c r="A359" s="2" t="n">
        <v>358</v>
      </c>
      <c r="B359" s="31" t="inlineStr">
        <is>
          <t>http://www.reg.chula.ac.th</t>
        </is>
      </c>
      <c r="C359" s="2" t="inlineStr">
        <is>
          <t>การศึกษา</t>
        </is>
      </c>
      <c r="D359" s="10">
        <f>F359/71</f>
        <v/>
      </c>
      <c r="E359" s="11">
        <f>IF(D359&gt;=0.9,"ดีเยี่ยม",IF(D359&gt;=0.7,"ดี",IF(D359&gt;=0.5,"พอใช้","ต้องปรับปรุง")))</f>
        <v/>
      </c>
      <c r="F359" s="6">
        <f>J359+N359+R359+V359</f>
        <v/>
      </c>
      <c r="G359" s="6">
        <f>K359+O359+S359+W359</f>
        <v/>
      </c>
      <c r="H359" s="6">
        <f>L359+P359+T359+X359</f>
        <v/>
      </c>
      <c r="I359" s="7">
        <f>J359/37</f>
        <v/>
      </c>
      <c r="J359" s="6" t="n">
        <v>30</v>
      </c>
      <c r="K359" s="6" t="n">
        <v>7</v>
      </c>
      <c r="L359" s="6" t="n">
        <v>0</v>
      </c>
      <c r="M359" s="7">
        <f>N359/9</f>
        <v/>
      </c>
      <c r="N359" s="6" t="n">
        <v>6</v>
      </c>
      <c r="O359" s="6" t="n">
        <v>3</v>
      </c>
      <c r="P359" s="6" t="n">
        <v>0</v>
      </c>
      <c r="Q359" s="7">
        <f>R359/11</f>
        <v/>
      </c>
      <c r="R359" s="6" t="n">
        <v>2</v>
      </c>
      <c r="S359" s="6" t="n">
        <v>3</v>
      </c>
      <c r="T359" s="6" t="n">
        <v>6</v>
      </c>
      <c r="U359" s="7">
        <f>V359/14</f>
        <v/>
      </c>
      <c r="V359" s="6" t="n">
        <v>2</v>
      </c>
      <c r="W359" s="6" t="n">
        <v>12</v>
      </c>
      <c r="X359" s="6" t="n">
        <v>0</v>
      </c>
      <c r="Y359" s="8" t="n">
        <v>37.48</v>
      </c>
      <c r="Z359" s="9" t="inlineStr">
        <is>
          <t>Success</t>
        </is>
      </c>
      <c r="AA359" s="2" t="inlineStr">
        <is>
          <t>2026-10-08 21:19:23</t>
        </is>
      </c>
    </row>
    <row r="360" ht="21.95" customHeight="1">
      <c r="A360" s="2" t="n">
        <v>359</v>
      </c>
      <c r="B360" s="31" t="inlineStr">
        <is>
          <t>http://walkrally.in.th</t>
        </is>
      </c>
      <c r="C360" s="2" t="inlineStr">
        <is>
          <t>การศึกษา</t>
        </is>
      </c>
      <c r="D360" s="10">
        <f>F360/71</f>
        <v/>
      </c>
      <c r="E360" s="11">
        <f>IF(D360&gt;=0.9,"ดีเยี่ยม",IF(D360&gt;=0.7,"ดี",IF(D360&gt;=0.5,"พอใช้","ต้องปรับปรุง")))</f>
        <v/>
      </c>
      <c r="F360" s="6">
        <f>J360+N360+R360+V360</f>
        <v/>
      </c>
      <c r="G360" s="6">
        <f>K360+O360+S360+W360</f>
        <v/>
      </c>
      <c r="H360" s="6">
        <f>L360+P360+T360+X360</f>
        <v/>
      </c>
      <c r="I360" s="7">
        <f>J360/37</f>
        <v/>
      </c>
      <c r="J360" s="6" t="n">
        <v>30</v>
      </c>
      <c r="K360" s="6" t="n">
        <v>6</v>
      </c>
      <c r="L360" s="6" t="n">
        <v>1</v>
      </c>
      <c r="M360" s="7">
        <f>N360/9</f>
        <v/>
      </c>
      <c r="N360" s="6" t="n">
        <v>6</v>
      </c>
      <c r="O360" s="6" t="n">
        <v>1</v>
      </c>
      <c r="P360" s="6" t="n">
        <v>2</v>
      </c>
      <c r="Q360" s="7">
        <f>R360/11</f>
        <v/>
      </c>
      <c r="R360" s="6" t="n">
        <v>1</v>
      </c>
      <c r="S360" s="6" t="n">
        <v>3</v>
      </c>
      <c r="T360" s="6" t="n">
        <v>7</v>
      </c>
      <c r="U360" s="7">
        <f>V360/14</f>
        <v/>
      </c>
      <c r="V360" s="6" t="n">
        <v>2</v>
      </c>
      <c r="W360" s="6" t="n">
        <v>12</v>
      </c>
      <c r="X360" s="6" t="n">
        <v>0</v>
      </c>
      <c r="Y360" s="8" t="n">
        <v>42.4</v>
      </c>
      <c r="Z360" s="9" t="inlineStr">
        <is>
          <t>Success</t>
        </is>
      </c>
      <c r="AA360" s="2" t="inlineStr">
        <is>
          <t>2026-10-08 21:20:05</t>
        </is>
      </c>
    </row>
    <row r="361" ht="21.95" customHeight="1">
      <c r="A361" s="2" t="n">
        <v>360</v>
      </c>
      <c r="B361" s="31" t="inlineStr">
        <is>
          <t>http://www.doae.go.th</t>
        </is>
      </c>
      <c r="C361" s="2" t="inlineStr">
        <is>
          <t>หน่วยงานราชการ,องค์กร</t>
        </is>
      </c>
      <c r="D361" s="4">
        <f>F361/71</f>
        <v/>
      </c>
      <c r="E361" s="5">
        <f>IF(D361&gt;=0.9,"ดีเยี่ยม",IF(D361&gt;=0.7,"ดี",IF(D361&gt;=0.5,"พอใช้","ต้องปรับปรุง")))</f>
        <v/>
      </c>
      <c r="F361" s="6">
        <f>J361+N361+R361+V361</f>
        <v/>
      </c>
      <c r="G361" s="6">
        <f>K361+O361+S361+W361</f>
        <v/>
      </c>
      <c r="H361" s="6">
        <f>L361+P361+T361+X361</f>
        <v/>
      </c>
      <c r="I361" s="7">
        <f>J361/37</f>
        <v/>
      </c>
      <c r="J361" s="6" t="n">
        <v>35</v>
      </c>
      <c r="K361" s="6" t="n">
        <v>1</v>
      </c>
      <c r="L361" s="6" t="n">
        <v>1</v>
      </c>
      <c r="M361" s="7">
        <f>N361/9</f>
        <v/>
      </c>
      <c r="N361" s="6" t="n">
        <v>6</v>
      </c>
      <c r="O361" s="6" t="n">
        <v>2</v>
      </c>
      <c r="P361" s="6" t="n">
        <v>1</v>
      </c>
      <c r="Q361" s="7">
        <f>R361/11</f>
        <v/>
      </c>
      <c r="R361" s="6" t="n">
        <v>5</v>
      </c>
      <c r="S361" s="6" t="n">
        <v>1</v>
      </c>
      <c r="T361" s="6" t="n">
        <v>5</v>
      </c>
      <c r="U361" s="7">
        <f>V361/14</f>
        <v/>
      </c>
      <c r="V361" s="6" t="n">
        <v>6</v>
      </c>
      <c r="W361" s="6" t="n">
        <v>8</v>
      </c>
      <c r="X361" s="6" t="n">
        <v>0</v>
      </c>
      <c r="Y361" s="8" t="n">
        <v>39.13</v>
      </c>
      <c r="Z361" s="9" t="inlineStr">
        <is>
          <t>Success</t>
        </is>
      </c>
      <c r="AA361" s="2" t="inlineStr">
        <is>
          <t>2026-10-08 21:20:44</t>
        </is>
      </c>
    </row>
    <row r="362" ht="21.95" customHeight="1">
      <c r="A362" s="2" t="n">
        <v>361</v>
      </c>
      <c r="B362" s="31" t="inlineStr">
        <is>
          <t>http://www.mmtc.ac.th</t>
        </is>
      </c>
      <c r="C362" s="2" t="inlineStr">
        <is>
          <t>การศึกษา</t>
        </is>
      </c>
      <c r="D362" s="10">
        <f>F362/71</f>
        <v/>
      </c>
      <c r="E362" s="11">
        <f>IF(D362&gt;=0.9,"ดีเยี่ยม",IF(D362&gt;=0.7,"ดี",IF(D362&gt;=0.5,"พอใช้","ต้องปรับปรุง")))</f>
        <v/>
      </c>
      <c r="F362" s="6">
        <f>J362+N362+R362+V362</f>
        <v/>
      </c>
      <c r="G362" s="6">
        <f>K362+O362+S362+W362</f>
        <v/>
      </c>
      <c r="H362" s="6">
        <f>L362+P362+T362+X362</f>
        <v/>
      </c>
      <c r="I362" s="7">
        <f>J362/37</f>
        <v/>
      </c>
      <c r="J362" s="6" t="n">
        <v>29</v>
      </c>
      <c r="K362" s="6" t="n">
        <v>5</v>
      </c>
      <c r="L362" s="6" t="n">
        <v>3</v>
      </c>
      <c r="M362" s="7">
        <f>N362/9</f>
        <v/>
      </c>
      <c r="N362" s="6" t="n">
        <v>7</v>
      </c>
      <c r="O362" s="6" t="n">
        <v>2</v>
      </c>
      <c r="P362" s="6" t="n">
        <v>0</v>
      </c>
      <c r="Q362" s="7">
        <f>R362/11</f>
        <v/>
      </c>
      <c r="R362" s="6" t="n">
        <v>3</v>
      </c>
      <c r="S362" s="6" t="n">
        <v>3</v>
      </c>
      <c r="T362" s="6" t="n">
        <v>5</v>
      </c>
      <c r="U362" s="7">
        <f>V362/14</f>
        <v/>
      </c>
      <c r="V362" s="6" t="n">
        <v>2</v>
      </c>
      <c r="W362" s="6" t="n">
        <v>12</v>
      </c>
      <c r="X362" s="6" t="n">
        <v>0</v>
      </c>
      <c r="Y362" s="8" t="n">
        <v>37.11</v>
      </c>
      <c r="Z362" s="9" t="inlineStr">
        <is>
          <t>Success</t>
        </is>
      </c>
      <c r="AA362" s="2" t="inlineStr">
        <is>
          <t>2026-10-08 21:21:21</t>
        </is>
      </c>
    </row>
    <row r="363" ht="21.95" customHeight="1">
      <c r="A363" s="2" t="n">
        <v>362</v>
      </c>
      <c r="B363" s="31" t="inlineStr">
        <is>
          <t>http://www.senate.go.th</t>
        </is>
      </c>
      <c r="C363" s="2" t="inlineStr">
        <is>
          <t>หน่วยงานราชการ,องค์กร</t>
        </is>
      </c>
      <c r="D363" s="10">
        <f>F363/71</f>
        <v/>
      </c>
      <c r="E363" s="11">
        <f>IF(D363&gt;=0.9,"ดีเยี่ยม",IF(D363&gt;=0.7,"ดี",IF(D363&gt;=0.5,"พอใช้","ต้องปรับปรุง")))</f>
        <v/>
      </c>
      <c r="F363" s="6">
        <f>J363+N363+R363+V363</f>
        <v/>
      </c>
      <c r="G363" s="6">
        <f>K363+O363+S363+W363</f>
        <v/>
      </c>
      <c r="H363" s="6">
        <f>L363+P363+T363+X363</f>
        <v/>
      </c>
      <c r="I363" s="7">
        <f>J363/37</f>
        <v/>
      </c>
      <c r="J363" s="6" t="n">
        <v>34</v>
      </c>
      <c r="K363" s="6" t="n">
        <v>3</v>
      </c>
      <c r="L363" s="6" t="n">
        <v>0</v>
      </c>
      <c r="M363" s="7">
        <f>N363/9</f>
        <v/>
      </c>
      <c r="N363" s="6" t="n">
        <v>7</v>
      </c>
      <c r="O363" s="6" t="n">
        <v>2</v>
      </c>
      <c r="P363" s="6" t="n">
        <v>0</v>
      </c>
      <c r="Q363" s="7">
        <f>R363/11</f>
        <v/>
      </c>
      <c r="R363" s="6" t="n">
        <v>4</v>
      </c>
      <c r="S363" s="6" t="n">
        <v>2</v>
      </c>
      <c r="T363" s="6" t="n">
        <v>5</v>
      </c>
      <c r="U363" s="7">
        <f>V363/14</f>
        <v/>
      </c>
      <c r="V363" s="6" t="n">
        <v>3</v>
      </c>
      <c r="W363" s="6" t="n">
        <v>10</v>
      </c>
      <c r="X363" s="6" t="n">
        <v>1</v>
      </c>
      <c r="Y363" s="8" t="n">
        <v>38.24</v>
      </c>
      <c r="Z363" s="9" t="inlineStr">
        <is>
          <t>Success</t>
        </is>
      </c>
      <c r="AA363" s="2" t="inlineStr">
        <is>
          <t>2026-10-08 21:22:00</t>
        </is>
      </c>
    </row>
    <row r="364" ht="21.95" customHeight="1">
      <c r="A364" s="2" t="n">
        <v>363</v>
      </c>
      <c r="B364" s="31" t="inlineStr">
        <is>
          <t>http://www.ThaiMTB.com</t>
        </is>
      </c>
      <c r="C364" s="2" t="inlineStr">
        <is>
          <t>กีฬา</t>
        </is>
      </c>
      <c r="D364" s="10">
        <f>F364/71</f>
        <v/>
      </c>
      <c r="E364" s="11">
        <f>IF(D364&gt;=0.9,"ดีเยี่ยม",IF(D364&gt;=0.7,"ดี",IF(D364&gt;=0.5,"พอใช้","ต้องปรับปรุง")))</f>
        <v/>
      </c>
      <c r="F364" s="6">
        <f>J364+N364+R364+V364</f>
        <v/>
      </c>
      <c r="G364" s="6">
        <f>K364+O364+S364+W364</f>
        <v/>
      </c>
      <c r="H364" s="6">
        <f>L364+P364+T364+X364</f>
        <v/>
      </c>
      <c r="I364" s="7">
        <f>J364/37</f>
        <v/>
      </c>
      <c r="J364" s="6" t="n">
        <v>31</v>
      </c>
      <c r="K364" s="6" t="n">
        <v>6</v>
      </c>
      <c r="L364" s="6" t="n">
        <v>0</v>
      </c>
      <c r="M364" s="7">
        <f>N364/9</f>
        <v/>
      </c>
      <c r="N364" s="6" t="n">
        <v>6</v>
      </c>
      <c r="O364" s="6" t="n">
        <v>3</v>
      </c>
      <c r="P364" s="6" t="n">
        <v>0</v>
      </c>
      <c r="Q364" s="7">
        <f>R364/11</f>
        <v/>
      </c>
      <c r="R364" s="6" t="n">
        <v>6</v>
      </c>
      <c r="S364" s="6" t="n">
        <v>3</v>
      </c>
      <c r="T364" s="6" t="n">
        <v>2</v>
      </c>
      <c r="U364" s="7">
        <f>V364/14</f>
        <v/>
      </c>
      <c r="V364" s="6" t="n">
        <v>2</v>
      </c>
      <c r="W364" s="6" t="n">
        <v>12</v>
      </c>
      <c r="X364" s="6" t="n">
        <v>0</v>
      </c>
      <c r="Y364" s="8" t="n">
        <v>17.58</v>
      </c>
      <c r="Z364" s="9" t="inlineStr">
        <is>
          <t>Success</t>
        </is>
      </c>
      <c r="AA364" s="2" t="inlineStr">
        <is>
          <t>2026-10-09 12:28:04</t>
        </is>
      </c>
    </row>
    <row r="365" ht="21.95" customHeight="1">
      <c r="A365" s="2" t="n">
        <v>364</v>
      </c>
      <c r="B365" s="31" t="inlineStr">
        <is>
          <t>http://www.khonthai.com</t>
        </is>
      </c>
      <c r="C365" s="2" t="inlineStr">
        <is>
          <t>หน่วยงานราชการ,องค์กร</t>
        </is>
      </c>
      <c r="D365" s="25">
        <f>F365/71</f>
        <v/>
      </c>
      <c r="E365" s="26">
        <f>IF(D365&gt;=0.9,"ดีเยี่ยม",IF(D365&gt;=0.7,"ดี",IF(D365&gt;=0.5,"พอใช้","ต้องปรับปรุง")))</f>
        <v/>
      </c>
      <c r="F365" s="6">
        <f>J365+N365+R365+V365</f>
        <v/>
      </c>
      <c r="G365" s="6">
        <f>K365+O365+S365+W365</f>
        <v/>
      </c>
      <c r="H365" s="6">
        <f>L365+P365+T365+X365</f>
        <v/>
      </c>
      <c r="I365" s="7">
        <f>J365/37</f>
        <v/>
      </c>
      <c r="J365" s="6" t="n">
        <v>0</v>
      </c>
      <c r="K365" s="6" t="n">
        <v>37</v>
      </c>
      <c r="L365" s="6" t="n">
        <v>0</v>
      </c>
      <c r="M365" s="7">
        <f>N365/9</f>
        <v/>
      </c>
      <c r="N365" s="6" t="n">
        <v>0</v>
      </c>
      <c r="O365" s="6" t="n">
        <v>9</v>
      </c>
      <c r="P365" s="6" t="n">
        <v>0</v>
      </c>
      <c r="Q365" s="7">
        <f>R365/11</f>
        <v/>
      </c>
      <c r="R365" s="6" t="n">
        <v>0</v>
      </c>
      <c r="S365" s="6" t="n">
        <v>11</v>
      </c>
      <c r="T365" s="6" t="n">
        <v>0</v>
      </c>
      <c r="U365" s="7">
        <f>V365/14</f>
        <v/>
      </c>
      <c r="V365" s="6" t="n">
        <v>0</v>
      </c>
      <c r="W365" s="6" t="n">
        <v>14</v>
      </c>
      <c r="X365" s="6" t="n">
        <v>0</v>
      </c>
      <c r="Y365" s="8" t="n">
        <v>2.66</v>
      </c>
      <c r="Z365" s="27" t="inlineStr">
        <is>
          <t>Failed (Connection Reset (Server ตัดสาย))</t>
        </is>
      </c>
      <c r="AA365" s="2" t="inlineStr">
        <is>
          <t>2026-10-21 00:13:37</t>
        </is>
      </c>
    </row>
    <row r="366" ht="21.95" customHeight="1">
      <c r="A366" s="2" t="n">
        <v>365</v>
      </c>
      <c r="B366" s="31" t="inlineStr">
        <is>
          <t>http://www.tpa.or.th</t>
        </is>
      </c>
      <c r="C366" s="2" t="inlineStr">
        <is>
          <t>หน่วยงานราชการ,องค์กร</t>
        </is>
      </c>
      <c r="D366" s="10">
        <f>F366/71</f>
        <v/>
      </c>
      <c r="E366" s="11">
        <f>IF(D366&gt;=0.9,"ดีเยี่ยม",IF(D366&gt;=0.7,"ดี",IF(D366&gt;=0.5,"พอใช้","ต้องปรับปรุง")))</f>
        <v/>
      </c>
      <c r="F366" s="6">
        <f>J366+N366+R366+V366</f>
        <v/>
      </c>
      <c r="G366" s="6">
        <f>K366+O366+S366+W366</f>
        <v/>
      </c>
      <c r="H366" s="6">
        <f>L366+P366+T366+X366</f>
        <v/>
      </c>
      <c r="I366" s="7">
        <f>J366/37</f>
        <v/>
      </c>
      <c r="J366" s="6" t="n">
        <v>35</v>
      </c>
      <c r="K366" s="6" t="n">
        <v>1</v>
      </c>
      <c r="L366" s="6" t="n">
        <v>1</v>
      </c>
      <c r="M366" s="7">
        <f>N366/9</f>
        <v/>
      </c>
      <c r="N366" s="6" t="n">
        <v>7</v>
      </c>
      <c r="O366" s="6" t="n">
        <v>2</v>
      </c>
      <c r="P366" s="6" t="n">
        <v>0</v>
      </c>
      <c r="Q366" s="7">
        <f>R366/11</f>
        <v/>
      </c>
      <c r="R366" s="6" t="n">
        <v>3</v>
      </c>
      <c r="S366" s="6" t="n">
        <v>3</v>
      </c>
      <c r="T366" s="6" t="n">
        <v>5</v>
      </c>
      <c r="U366" s="7">
        <f>V366/14</f>
        <v/>
      </c>
      <c r="V366" s="6" t="n">
        <v>3</v>
      </c>
      <c r="W366" s="6" t="n">
        <v>11</v>
      </c>
      <c r="X366" s="6" t="n">
        <v>0</v>
      </c>
      <c r="Y366" s="8" t="n">
        <v>36.04</v>
      </c>
      <c r="Z366" s="9" t="inlineStr">
        <is>
          <t>Success</t>
        </is>
      </c>
      <c r="AA366" s="2" t="inlineStr">
        <is>
          <t>2026-10-08 21:23:49</t>
        </is>
      </c>
    </row>
    <row r="367" ht="21.95" customHeight="1">
      <c r="A367" s="2" t="n">
        <v>366</v>
      </c>
      <c r="B367" s="31" t="inlineStr">
        <is>
          <t>http://www.sathapat.com</t>
        </is>
      </c>
      <c r="C367" s="2" t="inlineStr">
        <is>
          <t>บุคคล-สังคม</t>
        </is>
      </c>
      <c r="D367" s="10">
        <f>F367/71</f>
        <v/>
      </c>
      <c r="E367" s="11">
        <f>IF(D367&gt;=0.9,"ดีเยี่ยม",IF(D367&gt;=0.7,"ดี",IF(D367&gt;=0.5,"พอใช้","ต้องปรับปรุง")))</f>
        <v/>
      </c>
      <c r="F367" s="6">
        <f>J367+N367+R367+V367</f>
        <v/>
      </c>
      <c r="G367" s="6">
        <f>K367+O367+S367+W367</f>
        <v/>
      </c>
      <c r="H367" s="6">
        <f>L367+P367+T367+X367</f>
        <v/>
      </c>
      <c r="I367" s="7">
        <f>J367/37</f>
        <v/>
      </c>
      <c r="J367" s="6" t="n">
        <v>35</v>
      </c>
      <c r="K367" s="6" t="n">
        <v>2</v>
      </c>
      <c r="L367" s="6" t="n">
        <v>0</v>
      </c>
      <c r="M367" s="7">
        <f>N367/9</f>
        <v/>
      </c>
      <c r="N367" s="6" t="n">
        <v>7</v>
      </c>
      <c r="O367" s="6" t="n">
        <v>2</v>
      </c>
      <c r="P367" s="6" t="n">
        <v>0</v>
      </c>
      <c r="Q367" s="7">
        <f>R367/11</f>
        <v/>
      </c>
      <c r="R367" s="6" t="n">
        <v>5</v>
      </c>
      <c r="S367" s="6" t="n">
        <v>3</v>
      </c>
      <c r="T367" s="6" t="n">
        <v>3</v>
      </c>
      <c r="U367" s="7">
        <f>V367/14</f>
        <v/>
      </c>
      <c r="V367" s="6" t="n">
        <v>2</v>
      </c>
      <c r="W367" s="6" t="n">
        <v>12</v>
      </c>
      <c r="X367" s="6" t="n">
        <v>0</v>
      </c>
      <c r="Y367" s="8" t="n">
        <v>35.05</v>
      </c>
      <c r="Z367" s="9" t="inlineStr">
        <is>
          <t>Success</t>
        </is>
      </c>
      <c r="AA367" s="2" t="inlineStr">
        <is>
          <t>2026-10-08 21:24:24</t>
        </is>
      </c>
    </row>
    <row r="368" ht="21.95" customHeight="1">
      <c r="A368" s="2" t="n">
        <v>367</v>
      </c>
      <c r="B368" s="31" t="inlineStr">
        <is>
          <t>http://www.tourdoi.com/</t>
        </is>
      </c>
      <c r="C368" s="2" t="inlineStr">
        <is>
          <t>ท่องเที่ยว</t>
        </is>
      </c>
      <c r="D368" s="25">
        <f>F368/71</f>
        <v/>
      </c>
      <c r="E368" s="26">
        <f>IF(D368&gt;=0.9,"ดีเยี่ยม",IF(D368&gt;=0.7,"ดี",IF(D368&gt;=0.5,"พอใช้","ต้องปรับปรุง")))</f>
        <v/>
      </c>
      <c r="F368" s="6">
        <f>J368+N368+R368+V368</f>
        <v/>
      </c>
      <c r="G368" s="6">
        <f>K368+O368+S368+W368</f>
        <v/>
      </c>
      <c r="H368" s="6">
        <f>L368+P368+T368+X368</f>
        <v/>
      </c>
      <c r="I368" s="7">
        <f>J368/37</f>
        <v/>
      </c>
      <c r="J368" s="6" t="n">
        <v>0</v>
      </c>
      <c r="K368" s="6" t="n">
        <v>37</v>
      </c>
      <c r="L368" s="6" t="n">
        <v>0</v>
      </c>
      <c r="M368" s="7">
        <f>N368/9</f>
        <v/>
      </c>
      <c r="N368" s="6" t="n">
        <v>0</v>
      </c>
      <c r="O368" s="6" t="n">
        <v>9</v>
      </c>
      <c r="P368" s="6" t="n">
        <v>0</v>
      </c>
      <c r="Q368" s="7">
        <f>R368/11</f>
        <v/>
      </c>
      <c r="R368" s="6" t="n">
        <v>0</v>
      </c>
      <c r="S368" s="6" t="n">
        <v>11</v>
      </c>
      <c r="T368" s="6" t="n">
        <v>0</v>
      </c>
      <c r="U368" s="7">
        <f>V368/14</f>
        <v/>
      </c>
      <c r="V368" s="6" t="n">
        <v>0</v>
      </c>
      <c r="W368" s="6" t="n">
        <v>14</v>
      </c>
      <c r="X368" s="6" t="n">
        <v>0</v>
      </c>
      <c r="Y368" s="8" t="n">
        <v>1.24</v>
      </c>
      <c r="Z368" s="27" t="inlineStr">
        <is>
          <t>Failed (DNS Error (หาเว็บไม่เจอ))</t>
        </is>
      </c>
      <c r="AA368" s="2" t="inlineStr">
        <is>
          <t>2026-10-21 00:13:37</t>
        </is>
      </c>
    </row>
    <row r="369" ht="21.95" customHeight="1">
      <c r="A369" s="2" t="n">
        <v>368</v>
      </c>
      <c r="B369" s="31" t="inlineStr">
        <is>
          <t>http://www.nineweb.co.th</t>
        </is>
      </c>
      <c r="C369" s="2" t="inlineStr">
        <is>
          <t>อินเทอร์เน็ต</t>
        </is>
      </c>
      <c r="D369" s="10">
        <f>F369/71</f>
        <v/>
      </c>
      <c r="E369" s="11">
        <f>IF(D369&gt;=0.9,"ดีเยี่ยม",IF(D369&gt;=0.7,"ดี",IF(D369&gt;=0.5,"พอใช้","ต้องปรับปรุง")))</f>
        <v/>
      </c>
      <c r="F369" s="6">
        <f>J369+N369+R369+V369</f>
        <v/>
      </c>
      <c r="G369" s="6">
        <f>K369+O369+S369+W369</f>
        <v/>
      </c>
      <c r="H369" s="6">
        <f>L369+P369+T369+X369</f>
        <v/>
      </c>
      <c r="I369" s="7">
        <f>J369/37</f>
        <v/>
      </c>
      <c r="J369" s="6" t="n">
        <v>34</v>
      </c>
      <c r="K369" s="6" t="n">
        <v>3</v>
      </c>
      <c r="L369" s="6" t="n">
        <v>0</v>
      </c>
      <c r="M369" s="7">
        <f>N369/9</f>
        <v/>
      </c>
      <c r="N369" s="6" t="n">
        <v>7</v>
      </c>
      <c r="O369" s="6" t="n">
        <v>2</v>
      </c>
      <c r="P369" s="6" t="n">
        <v>0</v>
      </c>
      <c r="Q369" s="7">
        <f>R369/11</f>
        <v/>
      </c>
      <c r="R369" s="6" t="n">
        <v>3</v>
      </c>
      <c r="S369" s="6" t="n">
        <v>3</v>
      </c>
      <c r="T369" s="6" t="n">
        <v>5</v>
      </c>
      <c r="U369" s="7">
        <f>V369/14</f>
        <v/>
      </c>
      <c r="V369" s="6" t="n">
        <v>2</v>
      </c>
      <c r="W369" s="6" t="n">
        <v>12</v>
      </c>
      <c r="X369" s="6" t="n">
        <v>0</v>
      </c>
      <c r="Y369" s="8" t="n">
        <v>34.8</v>
      </c>
      <c r="Z369" s="9" t="inlineStr">
        <is>
          <t>Success</t>
        </is>
      </c>
      <c r="AA369" s="2" t="inlineStr">
        <is>
          <t>2026-10-08 21:25:35</t>
        </is>
      </c>
    </row>
    <row r="370" ht="21.95" customHeight="1">
      <c r="A370" s="2" t="n">
        <v>369</v>
      </c>
      <c r="B370" s="31" t="inlineStr">
        <is>
          <t>http://www.thaipoem.com</t>
        </is>
      </c>
      <c r="C370" s="2" t="inlineStr">
        <is>
          <t>บันเทิง</t>
        </is>
      </c>
      <c r="D370" s="10">
        <f>F370/71</f>
        <v/>
      </c>
      <c r="E370" s="11">
        <f>IF(D370&gt;=0.9,"ดีเยี่ยม",IF(D370&gt;=0.7,"ดี",IF(D370&gt;=0.5,"พอใช้","ต้องปรับปรุง")))</f>
        <v/>
      </c>
      <c r="F370" s="6">
        <f>J370+N370+R370+V370</f>
        <v/>
      </c>
      <c r="G370" s="6">
        <f>K370+O370+S370+W370</f>
        <v/>
      </c>
      <c r="H370" s="6">
        <f>L370+P370+T370+X370</f>
        <v/>
      </c>
      <c r="I370" s="7">
        <f>J370/37</f>
        <v/>
      </c>
      <c r="J370" s="6" t="n">
        <v>31</v>
      </c>
      <c r="K370" s="6" t="n">
        <v>5</v>
      </c>
      <c r="L370" s="6" t="n">
        <v>1</v>
      </c>
      <c r="M370" s="7">
        <f>N370/9</f>
        <v/>
      </c>
      <c r="N370" s="6" t="n">
        <v>7</v>
      </c>
      <c r="O370" s="6" t="n">
        <v>1</v>
      </c>
      <c r="P370" s="6" t="n">
        <v>1</v>
      </c>
      <c r="Q370" s="7">
        <f>R370/11</f>
        <v/>
      </c>
      <c r="R370" s="6" t="n">
        <v>3</v>
      </c>
      <c r="S370" s="6" t="n">
        <v>3</v>
      </c>
      <c r="T370" s="6" t="n">
        <v>5</v>
      </c>
      <c r="U370" s="7">
        <f>V370/14</f>
        <v/>
      </c>
      <c r="V370" s="6" t="n">
        <v>2</v>
      </c>
      <c r="W370" s="6" t="n">
        <v>12</v>
      </c>
      <c r="X370" s="6" t="n">
        <v>0</v>
      </c>
      <c r="Y370" s="8" t="n">
        <v>35.26</v>
      </c>
      <c r="Z370" s="9" t="inlineStr">
        <is>
          <t>Success</t>
        </is>
      </c>
      <c r="AA370" s="2" t="inlineStr">
        <is>
          <t>2026-10-08 21:26:10</t>
        </is>
      </c>
    </row>
    <row r="371" ht="21.95" customHeight="1">
      <c r="A371" s="2" t="n">
        <v>370</v>
      </c>
      <c r="B371" s="31" t="inlineStr">
        <is>
          <t>http://www.bangkoksite.com</t>
        </is>
      </c>
      <c r="C371" s="2" t="inlineStr">
        <is>
          <t>ท่องเที่ยว</t>
        </is>
      </c>
      <c r="D371" s="10">
        <f>F371/71</f>
        <v/>
      </c>
      <c r="E371" s="11">
        <f>IF(D371&gt;=0.9,"ดีเยี่ยม",IF(D371&gt;=0.7,"ดี",IF(D371&gt;=0.5,"พอใช้","ต้องปรับปรุง")))</f>
        <v/>
      </c>
      <c r="F371" s="6">
        <f>J371+N371+R371+V371</f>
        <v/>
      </c>
      <c r="G371" s="6">
        <f>K371+O371+S371+W371</f>
        <v/>
      </c>
      <c r="H371" s="6">
        <f>L371+P371+T371+X371</f>
        <v/>
      </c>
      <c r="I371" s="7">
        <f>J371/37</f>
        <v/>
      </c>
      <c r="J371" s="6" t="n">
        <v>31</v>
      </c>
      <c r="K371" s="6" t="n">
        <v>5</v>
      </c>
      <c r="L371" s="6" t="n">
        <v>1</v>
      </c>
      <c r="M371" s="7">
        <f>N371/9</f>
        <v/>
      </c>
      <c r="N371" s="6" t="n">
        <v>6</v>
      </c>
      <c r="O371" s="6" t="n">
        <v>2</v>
      </c>
      <c r="P371" s="6" t="n">
        <v>1</v>
      </c>
      <c r="Q371" s="7">
        <f>R371/11</f>
        <v/>
      </c>
      <c r="R371" s="6" t="n">
        <v>3</v>
      </c>
      <c r="S371" s="6" t="n">
        <v>3</v>
      </c>
      <c r="T371" s="6" t="n">
        <v>5</v>
      </c>
      <c r="U371" s="7">
        <f>V371/14</f>
        <v/>
      </c>
      <c r="V371" s="6" t="n">
        <v>2</v>
      </c>
      <c r="W371" s="6" t="n">
        <v>12</v>
      </c>
      <c r="X371" s="6" t="n">
        <v>0</v>
      </c>
      <c r="Y371" s="8" t="n">
        <v>36.69</v>
      </c>
      <c r="Z371" s="9" t="inlineStr">
        <is>
          <t>Success</t>
        </is>
      </c>
      <c r="AA371" s="2" t="inlineStr">
        <is>
          <t>2026-10-08 21:26:47</t>
        </is>
      </c>
    </row>
    <row r="372" ht="21.95" customHeight="1">
      <c r="A372" s="2" t="n">
        <v>371</v>
      </c>
      <c r="B372" s="31" t="inlineStr">
        <is>
          <t>http://www.biotec.or.th</t>
        </is>
      </c>
      <c r="C372" s="2" t="inlineStr">
        <is>
          <t>การศึกษา</t>
        </is>
      </c>
      <c r="D372" s="10">
        <f>F372/71</f>
        <v/>
      </c>
      <c r="E372" s="11">
        <f>IF(D372&gt;=0.9,"ดีเยี่ยม",IF(D372&gt;=0.7,"ดี",IF(D372&gt;=0.5,"พอใช้","ต้องปรับปรุง")))</f>
        <v/>
      </c>
      <c r="F372" s="6">
        <f>J372+N372+R372+V372</f>
        <v/>
      </c>
      <c r="G372" s="6">
        <f>K372+O372+S372+W372</f>
        <v/>
      </c>
      <c r="H372" s="6">
        <f>L372+P372+T372+X372</f>
        <v/>
      </c>
      <c r="I372" s="7">
        <f>J372/37</f>
        <v/>
      </c>
      <c r="J372" s="6" t="n">
        <v>33</v>
      </c>
      <c r="K372" s="6" t="n">
        <v>4</v>
      </c>
      <c r="L372" s="6" t="n">
        <v>0</v>
      </c>
      <c r="M372" s="7">
        <f>N372/9</f>
        <v/>
      </c>
      <c r="N372" s="6" t="n">
        <v>7</v>
      </c>
      <c r="O372" s="6" t="n">
        <v>2</v>
      </c>
      <c r="P372" s="6" t="n">
        <v>0</v>
      </c>
      <c r="Q372" s="7">
        <f>R372/11</f>
        <v/>
      </c>
      <c r="R372" s="6" t="n">
        <v>5</v>
      </c>
      <c r="S372" s="6" t="n">
        <v>2</v>
      </c>
      <c r="T372" s="6" t="n">
        <v>4</v>
      </c>
      <c r="U372" s="7">
        <f>V372/14</f>
        <v/>
      </c>
      <c r="V372" s="6" t="n">
        <v>4</v>
      </c>
      <c r="W372" s="6" t="n">
        <v>10</v>
      </c>
      <c r="X372" s="6" t="n">
        <v>0</v>
      </c>
      <c r="Y372" s="8" t="n">
        <v>36.33</v>
      </c>
      <c r="Z372" s="9" t="inlineStr">
        <is>
          <t>Success</t>
        </is>
      </c>
      <c r="AA372" s="2" t="inlineStr">
        <is>
          <t>2026-10-08 21:27:23</t>
        </is>
      </c>
    </row>
    <row r="373" ht="21.95" customHeight="1">
      <c r="A373" s="2" t="n">
        <v>372</v>
      </c>
      <c r="B373" s="31" t="inlineStr">
        <is>
          <t>http://www.most.go.th</t>
        </is>
      </c>
      <c r="C373" s="2" t="inlineStr">
        <is>
          <t>หน่วยงานราชการ,องค์กร</t>
        </is>
      </c>
      <c r="D373" s="25">
        <f>F373/71</f>
        <v/>
      </c>
      <c r="E373" s="26">
        <f>IF(D373&gt;=0.9,"ดีเยี่ยม",IF(D373&gt;=0.7,"ดี",IF(D373&gt;=0.5,"พอใช้","ต้องปรับปรุง")))</f>
        <v/>
      </c>
      <c r="F373" s="6">
        <f>J373+N373+R373+V373</f>
        <v/>
      </c>
      <c r="G373" s="6">
        <f>K373+O373+S373+W373</f>
        <v/>
      </c>
      <c r="H373" s="6">
        <f>L373+P373+T373+X373</f>
        <v/>
      </c>
      <c r="I373" s="7">
        <f>J373/37</f>
        <v/>
      </c>
      <c r="J373" s="6" t="n">
        <v>0</v>
      </c>
      <c r="K373" s="6" t="n">
        <v>37</v>
      </c>
      <c r="L373" s="6" t="n">
        <v>0</v>
      </c>
      <c r="M373" s="7">
        <f>N373/9</f>
        <v/>
      </c>
      <c r="N373" s="6" t="n">
        <v>0</v>
      </c>
      <c r="O373" s="6" t="n">
        <v>9</v>
      </c>
      <c r="P373" s="6" t="n">
        <v>0</v>
      </c>
      <c r="Q373" s="7">
        <f>R373/11</f>
        <v/>
      </c>
      <c r="R373" s="6" t="n">
        <v>0</v>
      </c>
      <c r="S373" s="6" t="n">
        <v>11</v>
      </c>
      <c r="T373" s="6" t="n">
        <v>0</v>
      </c>
      <c r="U373" s="7">
        <f>V373/14</f>
        <v/>
      </c>
      <c r="V373" s="6" t="n">
        <v>0</v>
      </c>
      <c r="W373" s="6" t="n">
        <v>14</v>
      </c>
      <c r="X373" s="6" t="n">
        <v>0</v>
      </c>
      <c r="Y373" s="8" t="n">
        <v>0.03</v>
      </c>
      <c r="Z373" s="27" t="inlineStr">
        <is>
          <t>Failed (DNS Error (หาเว็บไม่เจอ))</t>
        </is>
      </c>
      <c r="AA373" s="2" t="inlineStr">
        <is>
          <t>2026-10-21 00:13:37</t>
        </is>
      </c>
    </row>
    <row r="374" ht="21.95" customHeight="1">
      <c r="A374" s="2" t="n">
        <v>373</v>
      </c>
      <c r="B374" s="31" t="inlineStr">
        <is>
          <t>http://thaitv5hd.com</t>
        </is>
      </c>
      <c r="C374" s="2" t="inlineStr">
        <is>
          <t>ข่าว-สื่อ</t>
        </is>
      </c>
      <c r="D374" s="10">
        <f>F374/71</f>
        <v/>
      </c>
      <c r="E374" s="11">
        <f>IF(D374&gt;=0.9,"ดีเยี่ยม",IF(D374&gt;=0.7,"ดี",IF(D374&gt;=0.5,"พอใช้","ต้องปรับปรุง")))</f>
        <v/>
      </c>
      <c r="F374" s="6">
        <f>J374+N374+R374+V374</f>
        <v/>
      </c>
      <c r="G374" s="6">
        <f>K374+O374+S374+W374</f>
        <v/>
      </c>
      <c r="H374" s="6">
        <f>L374+P374+T374+X374</f>
        <v/>
      </c>
      <c r="I374" s="7">
        <f>J374/37</f>
        <v/>
      </c>
      <c r="J374" s="6" t="n">
        <v>33</v>
      </c>
      <c r="K374" s="6" t="n">
        <v>3</v>
      </c>
      <c r="L374" s="6" t="n">
        <v>1</v>
      </c>
      <c r="M374" s="7">
        <f>N374/9</f>
        <v/>
      </c>
      <c r="N374" s="6" t="n">
        <v>7</v>
      </c>
      <c r="O374" s="6" t="n">
        <v>2</v>
      </c>
      <c r="P374" s="6" t="n">
        <v>0</v>
      </c>
      <c r="Q374" s="7">
        <f>R374/11</f>
        <v/>
      </c>
      <c r="R374" s="6" t="n">
        <v>3</v>
      </c>
      <c r="S374" s="6" t="n">
        <v>3</v>
      </c>
      <c r="T374" s="6" t="n">
        <v>5</v>
      </c>
      <c r="U374" s="7">
        <f>V374/14</f>
        <v/>
      </c>
      <c r="V374" s="6" t="n">
        <v>2</v>
      </c>
      <c r="W374" s="6" t="n">
        <v>12</v>
      </c>
      <c r="X374" s="6" t="n">
        <v>0</v>
      </c>
      <c r="Y374" s="8" t="n">
        <v>36.76</v>
      </c>
      <c r="Z374" s="9" t="inlineStr">
        <is>
          <t>Success</t>
        </is>
      </c>
      <c r="AA374" s="2" t="inlineStr">
        <is>
          <t>2026-10-08 21:28:39</t>
        </is>
      </c>
    </row>
    <row r="375" ht="21.95" customHeight="1">
      <c r="A375" s="2" t="n">
        <v>374</v>
      </c>
      <c r="B375" s="31" t="inlineStr">
        <is>
          <t>http://www.ttcexpert.com</t>
        </is>
      </c>
      <c r="C375" s="2" t="inlineStr">
        <is>
          <t>หน่วยงานราชการ,องค์กร</t>
        </is>
      </c>
      <c r="D375" s="10">
        <f>F375/71</f>
        <v/>
      </c>
      <c r="E375" s="11">
        <f>IF(D375&gt;=0.9,"ดีเยี่ยม",IF(D375&gt;=0.7,"ดี",IF(D375&gt;=0.5,"พอใช้","ต้องปรับปรุง")))</f>
        <v/>
      </c>
      <c r="F375" s="6">
        <f>J375+N375+R375+V375</f>
        <v/>
      </c>
      <c r="G375" s="6">
        <f>K375+O375+S375+W375</f>
        <v/>
      </c>
      <c r="H375" s="6">
        <f>L375+P375+T375+X375</f>
        <v/>
      </c>
      <c r="I375" s="7">
        <f>J375/37</f>
        <v/>
      </c>
      <c r="J375" s="6" t="n">
        <v>34</v>
      </c>
      <c r="K375" s="6" t="n">
        <v>2</v>
      </c>
      <c r="L375" s="6" t="n">
        <v>1</v>
      </c>
      <c r="M375" s="7">
        <f>N375/9</f>
        <v/>
      </c>
      <c r="N375" s="6" t="n">
        <v>6</v>
      </c>
      <c r="O375" s="6" t="n">
        <v>2</v>
      </c>
      <c r="P375" s="6" t="n">
        <v>1</v>
      </c>
      <c r="Q375" s="7">
        <f>R375/11</f>
        <v/>
      </c>
      <c r="R375" s="6" t="n">
        <v>3</v>
      </c>
      <c r="S375" s="6" t="n">
        <v>3</v>
      </c>
      <c r="T375" s="6" t="n">
        <v>5</v>
      </c>
      <c r="U375" s="7">
        <f>V375/14</f>
        <v/>
      </c>
      <c r="V375" s="6" t="n">
        <v>2</v>
      </c>
      <c r="W375" s="6" t="n">
        <v>12</v>
      </c>
      <c r="X375" s="6" t="n">
        <v>0</v>
      </c>
      <c r="Y375" s="8" t="n">
        <v>44.11</v>
      </c>
      <c r="Z375" s="9" t="inlineStr">
        <is>
          <t>Success</t>
        </is>
      </c>
      <c r="AA375" s="2" t="inlineStr">
        <is>
          <t>2026-10-08 21:29:23</t>
        </is>
      </c>
    </row>
    <row r="376" ht="21.95" customHeight="1">
      <c r="A376" s="2" t="n">
        <v>375</v>
      </c>
      <c r="B376" s="31" t="inlineStr">
        <is>
          <t>http://www.clinicrak.com</t>
        </is>
      </c>
      <c r="C376" s="2" t="inlineStr">
        <is>
          <t>สุขภาพ</t>
        </is>
      </c>
      <c r="D376" s="10">
        <f>F376/71</f>
        <v/>
      </c>
      <c r="E376" s="11">
        <f>IF(D376&gt;=0.9,"ดีเยี่ยม",IF(D376&gt;=0.7,"ดี",IF(D376&gt;=0.5,"พอใช้","ต้องปรับปรุง")))</f>
        <v/>
      </c>
      <c r="F376" s="6">
        <f>J376+N376+R376+V376</f>
        <v/>
      </c>
      <c r="G376" s="6">
        <f>K376+O376+S376+W376</f>
        <v/>
      </c>
      <c r="H376" s="6">
        <f>L376+P376+T376+X376</f>
        <v/>
      </c>
      <c r="I376" s="7">
        <f>J376/37</f>
        <v/>
      </c>
      <c r="J376" s="6" t="n">
        <v>31</v>
      </c>
      <c r="K376" s="6" t="n">
        <v>5</v>
      </c>
      <c r="L376" s="6" t="n">
        <v>1</v>
      </c>
      <c r="M376" s="7">
        <f>N376/9</f>
        <v/>
      </c>
      <c r="N376" s="6" t="n">
        <v>8</v>
      </c>
      <c r="O376" s="6" t="n">
        <v>1</v>
      </c>
      <c r="P376" s="6" t="n">
        <v>0</v>
      </c>
      <c r="Q376" s="7">
        <f>R376/11</f>
        <v/>
      </c>
      <c r="R376" s="6" t="n">
        <v>1</v>
      </c>
      <c r="S376" s="6" t="n">
        <v>3</v>
      </c>
      <c r="T376" s="6" t="n">
        <v>7</v>
      </c>
      <c r="U376" s="7">
        <f>V376/14</f>
        <v/>
      </c>
      <c r="V376" s="6" t="n">
        <v>2</v>
      </c>
      <c r="W376" s="6" t="n">
        <v>12</v>
      </c>
      <c r="X376" s="6" t="n">
        <v>0</v>
      </c>
      <c r="Y376" s="8" t="n">
        <v>83.11</v>
      </c>
      <c r="Z376" s="9" t="inlineStr">
        <is>
          <t>Success</t>
        </is>
      </c>
      <c r="AA376" s="2" t="inlineStr">
        <is>
          <t>2026-10-08 21:30:46</t>
        </is>
      </c>
    </row>
    <row r="377" ht="21.95" customHeight="1">
      <c r="A377" s="2" t="n">
        <v>376</v>
      </c>
      <c r="B377" s="31" t="inlineStr">
        <is>
          <t>http://www.songkwae.com</t>
        </is>
      </c>
      <c r="C377" s="2" t="inlineStr">
        <is>
          <t>คอมพิวเตอร์</t>
        </is>
      </c>
      <c r="D377" s="25">
        <f>F377/71</f>
        <v/>
      </c>
      <c r="E377" s="26">
        <f>IF(D377&gt;=0.9,"ดีเยี่ยม",IF(D377&gt;=0.7,"ดี",IF(D377&gt;=0.5,"พอใช้","ต้องปรับปรุง")))</f>
        <v/>
      </c>
      <c r="F377" s="6">
        <f>J377+N377+R377+V377</f>
        <v/>
      </c>
      <c r="G377" s="6">
        <f>K377+O377+S377+W377</f>
        <v/>
      </c>
      <c r="H377" s="6">
        <f>L377+P377+T377+X377</f>
        <v/>
      </c>
      <c r="I377" s="7">
        <f>J377/37</f>
        <v/>
      </c>
      <c r="J377" s="6" t="n">
        <v>0</v>
      </c>
      <c r="K377" s="6" t="n">
        <v>37</v>
      </c>
      <c r="L377" s="6" t="n">
        <v>0</v>
      </c>
      <c r="M377" s="7">
        <f>N377/9</f>
        <v/>
      </c>
      <c r="N377" s="6" t="n">
        <v>0</v>
      </c>
      <c r="O377" s="6" t="n">
        <v>9</v>
      </c>
      <c r="P377" s="6" t="n">
        <v>0</v>
      </c>
      <c r="Q377" s="7">
        <f>R377/11</f>
        <v/>
      </c>
      <c r="R377" s="6" t="n">
        <v>0</v>
      </c>
      <c r="S377" s="6" t="n">
        <v>11</v>
      </c>
      <c r="T377" s="6" t="n">
        <v>0</v>
      </c>
      <c r="U377" s="7">
        <f>V377/14</f>
        <v/>
      </c>
      <c r="V377" s="6" t="n">
        <v>0</v>
      </c>
      <c r="W377" s="6" t="n">
        <v>14</v>
      </c>
      <c r="X377" s="6" t="n">
        <v>0</v>
      </c>
      <c r="Y377" s="8" t="n">
        <v>0.1</v>
      </c>
      <c r="Z377" s="27" t="inlineStr">
        <is>
          <t>Failed (Connection Reset (Server ตัดสาย))</t>
        </is>
      </c>
      <c r="AA377" s="2" t="inlineStr">
        <is>
          <t>2026-10-21 00:13:37</t>
        </is>
      </c>
    </row>
    <row r="378" ht="21.95" customHeight="1">
      <c r="A378" s="2" t="n">
        <v>377</v>
      </c>
      <c r="B378" s="31" t="inlineStr">
        <is>
          <t>http://www.salatanum.com</t>
        </is>
      </c>
      <c r="C378" s="2" t="inlineStr">
        <is>
          <t>ธุรกิจ</t>
        </is>
      </c>
      <c r="D378" s="4">
        <f>F378/71</f>
        <v/>
      </c>
      <c r="E378" s="5">
        <f>IF(D378&gt;=0.9,"ดีเยี่ยม",IF(D378&gt;=0.7,"ดี",IF(D378&gt;=0.5,"พอใช้","ต้องปรับปรุง")))</f>
        <v/>
      </c>
      <c r="F378" s="6">
        <f>J378+N378+R378+V378</f>
        <v/>
      </c>
      <c r="G378" s="6">
        <f>K378+O378+S378+W378</f>
        <v/>
      </c>
      <c r="H378" s="6">
        <f>L378+P378+T378+X378</f>
        <v/>
      </c>
      <c r="I378" s="7">
        <f>J378/37</f>
        <v/>
      </c>
      <c r="J378" s="6" t="n">
        <v>32</v>
      </c>
      <c r="K378" s="6" t="n">
        <v>3</v>
      </c>
      <c r="L378" s="6" t="n">
        <v>2</v>
      </c>
      <c r="M378" s="7">
        <f>N378/9</f>
        <v/>
      </c>
      <c r="N378" s="6" t="n">
        <v>6</v>
      </c>
      <c r="O378" s="6" t="n">
        <v>1</v>
      </c>
      <c r="P378" s="6" t="n">
        <v>2</v>
      </c>
      <c r="Q378" s="7">
        <f>R378/11</f>
        <v/>
      </c>
      <c r="R378" s="6" t="n">
        <v>9</v>
      </c>
      <c r="S378" s="6" t="n">
        <v>1</v>
      </c>
      <c r="T378" s="6" t="n">
        <v>1</v>
      </c>
      <c r="U378" s="7">
        <f>V378/14</f>
        <v/>
      </c>
      <c r="V378" s="6" t="n">
        <v>5</v>
      </c>
      <c r="W378" s="6" t="n">
        <v>9</v>
      </c>
      <c r="X378" s="6" t="n">
        <v>0</v>
      </c>
      <c r="Y378" s="8" t="n">
        <v>56.23</v>
      </c>
      <c r="Z378" s="9" t="inlineStr">
        <is>
          <t>Success</t>
        </is>
      </c>
      <c r="AA378" s="2" t="inlineStr">
        <is>
          <t>2026-10-09 12:30:45</t>
        </is>
      </c>
    </row>
    <row r="379" ht="21.95" customHeight="1">
      <c r="A379" s="2" t="n">
        <v>378</v>
      </c>
      <c r="B379" s="31" t="inlineStr">
        <is>
          <t>http://www.rd.go.th</t>
        </is>
      </c>
      <c r="C379" s="2" t="inlineStr">
        <is>
          <t>หน่วยงานราชการ,องค์กร</t>
        </is>
      </c>
      <c r="D379" s="4">
        <f>F379/71</f>
        <v/>
      </c>
      <c r="E379" s="5">
        <f>IF(D379&gt;=0.9,"ดีเยี่ยม",IF(D379&gt;=0.7,"ดี",IF(D379&gt;=0.5,"พอใช้","ต้องปรับปรุง")))</f>
        <v/>
      </c>
      <c r="F379" s="6">
        <f>J379+N379+R379+V379</f>
        <v/>
      </c>
      <c r="G379" s="6">
        <f>K379+O379+S379+W379</f>
        <v/>
      </c>
      <c r="H379" s="6">
        <f>L379+P379+T379+X379</f>
        <v/>
      </c>
      <c r="I379" s="7">
        <f>J379/37</f>
        <v/>
      </c>
      <c r="J379" s="6" t="n">
        <v>36</v>
      </c>
      <c r="K379" s="6" t="n">
        <v>1</v>
      </c>
      <c r="L379" s="6" t="n">
        <v>0</v>
      </c>
      <c r="M379" s="7">
        <f>N379/9</f>
        <v/>
      </c>
      <c r="N379" s="6" t="n">
        <v>7</v>
      </c>
      <c r="O379" s="6" t="n">
        <v>2</v>
      </c>
      <c r="P379" s="6" t="n">
        <v>0</v>
      </c>
      <c r="Q379" s="7">
        <f>R379/11</f>
        <v/>
      </c>
      <c r="R379" s="6" t="n">
        <v>4</v>
      </c>
      <c r="S379" s="6" t="n">
        <v>2</v>
      </c>
      <c r="T379" s="6" t="n">
        <v>5</v>
      </c>
      <c r="U379" s="7">
        <f>V379/14</f>
        <v/>
      </c>
      <c r="V379" s="6" t="n">
        <v>3</v>
      </c>
      <c r="W379" s="6" t="n">
        <v>9</v>
      </c>
      <c r="X379" s="6" t="n">
        <v>2</v>
      </c>
      <c r="Y379" s="8" t="n">
        <v>45.47</v>
      </c>
      <c r="Z379" s="9" t="inlineStr">
        <is>
          <t>Success</t>
        </is>
      </c>
      <c r="AA379" s="2" t="inlineStr">
        <is>
          <t>2026-10-08 21:33:32</t>
        </is>
      </c>
    </row>
    <row r="380" ht="21.95" customHeight="1">
      <c r="A380" s="2" t="n">
        <v>379</v>
      </c>
      <c r="B380" s="31" t="inlineStr">
        <is>
          <t>http://www.sansarn.com</t>
        </is>
      </c>
      <c r="C380" s="2" t="inlineStr">
        <is>
          <t>อินเทอร์เน็ต</t>
        </is>
      </c>
      <c r="D380" s="25">
        <f>F380/71</f>
        <v/>
      </c>
      <c r="E380" s="26">
        <f>IF(D380&gt;=0.9,"ดีเยี่ยม",IF(D380&gt;=0.7,"ดี",IF(D380&gt;=0.5,"พอใช้","ต้องปรับปรุง")))</f>
        <v/>
      </c>
      <c r="F380" s="6">
        <f>J380+N380+R380+V380</f>
        <v/>
      </c>
      <c r="G380" s="6">
        <f>K380+O380+S380+W380</f>
        <v/>
      </c>
      <c r="H380" s="6">
        <f>L380+P380+T380+X380</f>
        <v/>
      </c>
      <c r="I380" s="7">
        <f>J380/37</f>
        <v/>
      </c>
      <c r="J380" s="6" t="n">
        <v>0</v>
      </c>
      <c r="K380" s="6" t="n">
        <v>37</v>
      </c>
      <c r="L380" s="6" t="n">
        <v>0</v>
      </c>
      <c r="M380" s="7">
        <f>N380/9</f>
        <v/>
      </c>
      <c r="N380" s="6" t="n">
        <v>0</v>
      </c>
      <c r="O380" s="6" t="n">
        <v>9</v>
      </c>
      <c r="P380" s="6" t="n">
        <v>0</v>
      </c>
      <c r="Q380" s="7">
        <f>R380/11</f>
        <v/>
      </c>
      <c r="R380" s="6" t="n">
        <v>0</v>
      </c>
      <c r="S380" s="6" t="n">
        <v>11</v>
      </c>
      <c r="T380" s="6" t="n">
        <v>0</v>
      </c>
      <c r="U380" s="7">
        <f>V380/14</f>
        <v/>
      </c>
      <c r="V380" s="6" t="n">
        <v>0</v>
      </c>
      <c r="W380" s="6" t="n">
        <v>14</v>
      </c>
      <c r="X380" s="6" t="n">
        <v>0</v>
      </c>
      <c r="Y380" s="8" t="n">
        <v>24.25</v>
      </c>
      <c r="Z380" s="27" t="inlineStr">
        <is>
          <t>Failed (Timeout (เว็บไม่ตอบ))</t>
        </is>
      </c>
      <c r="AA380" s="2" t="inlineStr">
        <is>
          <t>2026-10-21 00:13:37</t>
        </is>
      </c>
    </row>
    <row r="381" ht="21.95" customHeight="1">
      <c r="A381" s="2" t="n">
        <v>380</v>
      </c>
      <c r="B381" s="31" t="inlineStr">
        <is>
          <t>http://www.ranchushop.com</t>
        </is>
      </c>
      <c r="C381" s="2" t="inlineStr">
        <is>
          <t>บุคคล-สังคม</t>
        </is>
      </c>
      <c r="D381" s="25">
        <f>F381/71</f>
        <v/>
      </c>
      <c r="E381" s="26">
        <f>IF(D381&gt;=0.9,"ดีเยี่ยม",IF(D381&gt;=0.7,"ดี",IF(D381&gt;=0.5,"พอใช้","ต้องปรับปรุง")))</f>
        <v/>
      </c>
      <c r="F381" s="6">
        <f>J381+N381+R381+V381</f>
        <v/>
      </c>
      <c r="G381" s="6">
        <f>K381+O381+S381+W381</f>
        <v/>
      </c>
      <c r="H381" s="6">
        <f>L381+P381+T381+X381</f>
        <v/>
      </c>
      <c r="I381" s="7">
        <f>J381/37</f>
        <v/>
      </c>
      <c r="J381" s="6" t="n">
        <v>0</v>
      </c>
      <c r="K381" s="6" t="n">
        <v>37</v>
      </c>
      <c r="L381" s="6" t="n">
        <v>0</v>
      </c>
      <c r="M381" s="7">
        <f>N381/9</f>
        <v/>
      </c>
      <c r="N381" s="6" t="n">
        <v>0</v>
      </c>
      <c r="O381" s="6" t="n">
        <v>9</v>
      </c>
      <c r="P381" s="6" t="n">
        <v>0</v>
      </c>
      <c r="Q381" s="7">
        <f>R381/11</f>
        <v/>
      </c>
      <c r="R381" s="6" t="n">
        <v>0</v>
      </c>
      <c r="S381" s="6" t="n">
        <v>11</v>
      </c>
      <c r="T381" s="6" t="n">
        <v>0</v>
      </c>
      <c r="U381" s="7">
        <f>V381/14</f>
        <v/>
      </c>
      <c r="V381" s="6" t="n">
        <v>0</v>
      </c>
      <c r="W381" s="6" t="n">
        <v>14</v>
      </c>
      <c r="X381" s="6" t="n">
        <v>0</v>
      </c>
      <c r="Y381" s="8" t="n">
        <v>0.25</v>
      </c>
      <c r="Z381" s="27" t="inlineStr">
        <is>
          <t>Failed (จอขาว / ไม่มีเนื้อหา (Blank Screen))</t>
        </is>
      </c>
      <c r="AA381" s="2" t="inlineStr">
        <is>
          <t>2026-10-21 00:13:37</t>
        </is>
      </c>
    </row>
    <row r="382" ht="21.95" customHeight="1">
      <c r="A382" s="2" t="n">
        <v>381</v>
      </c>
      <c r="B382" s="31" t="inlineStr">
        <is>
          <t>http://www.getcools.com</t>
        </is>
      </c>
      <c r="C382" s="2" t="inlineStr">
        <is>
          <t>มือถือ-พีดีเอ</t>
        </is>
      </c>
      <c r="D382" s="25">
        <f>F382/71</f>
        <v/>
      </c>
      <c r="E382" s="26">
        <f>IF(D382&gt;=0.9,"ดีเยี่ยม",IF(D382&gt;=0.7,"ดี",IF(D382&gt;=0.5,"พอใช้","ต้องปรับปรุง")))</f>
        <v/>
      </c>
      <c r="F382" s="6">
        <f>J382+N382+R382+V382</f>
        <v/>
      </c>
      <c r="G382" s="6">
        <f>K382+O382+S382+W382</f>
        <v/>
      </c>
      <c r="H382" s="6">
        <f>L382+P382+T382+X382</f>
        <v/>
      </c>
      <c r="I382" s="7">
        <f>J382/37</f>
        <v/>
      </c>
      <c r="J382" s="6" t="n">
        <v>0</v>
      </c>
      <c r="K382" s="6" t="n">
        <v>37</v>
      </c>
      <c r="L382" s="6" t="n">
        <v>0</v>
      </c>
      <c r="M382" s="7">
        <f>N382/9</f>
        <v/>
      </c>
      <c r="N382" s="6" t="n">
        <v>0</v>
      </c>
      <c r="O382" s="6" t="n">
        <v>9</v>
      </c>
      <c r="P382" s="6" t="n">
        <v>0</v>
      </c>
      <c r="Q382" s="7">
        <f>R382/11</f>
        <v/>
      </c>
      <c r="R382" s="6" t="n">
        <v>0</v>
      </c>
      <c r="S382" s="6" t="n">
        <v>11</v>
      </c>
      <c r="T382" s="6" t="n">
        <v>0</v>
      </c>
      <c r="U382" s="7">
        <f>V382/14</f>
        <v/>
      </c>
      <c r="V382" s="6" t="n">
        <v>0</v>
      </c>
      <c r="W382" s="6" t="n">
        <v>14</v>
      </c>
      <c r="X382" s="6" t="n">
        <v>0</v>
      </c>
      <c r="Y382" s="8" t="n">
        <v>0.35</v>
      </c>
      <c r="Z382" s="27" t="inlineStr">
        <is>
          <t>Failed (Server Error (HTTP 500))</t>
        </is>
      </c>
      <c r="AA382" s="2" t="inlineStr">
        <is>
          <t>2026-10-21 00:13:37</t>
        </is>
      </c>
    </row>
    <row r="383" ht="21.95" customHeight="1">
      <c r="A383" s="2" t="n">
        <v>382</v>
      </c>
      <c r="B383" s="31" t="inlineStr">
        <is>
          <t>http://picasupa.blogspot.com</t>
        </is>
      </c>
      <c r="C383" s="2" t="inlineStr">
        <is>
          <t>ศิลปะ-วัฒนธรรม</t>
        </is>
      </c>
      <c r="D383" s="10">
        <f>F383/71</f>
        <v/>
      </c>
      <c r="E383" s="11">
        <f>IF(D383&gt;=0.9,"ดีเยี่ยม",IF(D383&gt;=0.7,"ดี",IF(D383&gt;=0.5,"พอใช้","ต้องปรับปรุง")))</f>
        <v/>
      </c>
      <c r="F383" s="6">
        <f>J383+N383+R383+V383</f>
        <v/>
      </c>
      <c r="G383" s="6">
        <f>K383+O383+S383+W383</f>
        <v/>
      </c>
      <c r="H383" s="6">
        <f>L383+P383+T383+X383</f>
        <v/>
      </c>
      <c r="I383" s="7">
        <f>J383/37</f>
        <v/>
      </c>
      <c r="J383" s="6" t="n">
        <v>31</v>
      </c>
      <c r="K383" s="6" t="n">
        <v>6</v>
      </c>
      <c r="L383" s="6" t="n">
        <v>0</v>
      </c>
      <c r="M383" s="7">
        <f>N383/9</f>
        <v/>
      </c>
      <c r="N383" s="6" t="n">
        <v>7</v>
      </c>
      <c r="O383" s="6" t="n">
        <v>1</v>
      </c>
      <c r="P383" s="6" t="n">
        <v>1</v>
      </c>
      <c r="Q383" s="7">
        <f>R383/11</f>
        <v/>
      </c>
      <c r="R383" s="6" t="n">
        <v>5</v>
      </c>
      <c r="S383" s="6" t="n">
        <v>3</v>
      </c>
      <c r="T383" s="6" t="n">
        <v>3</v>
      </c>
      <c r="U383" s="7">
        <f>V383/14</f>
        <v/>
      </c>
      <c r="V383" s="6" t="n">
        <v>2</v>
      </c>
      <c r="W383" s="6" t="n">
        <v>10</v>
      </c>
      <c r="X383" s="6" t="n">
        <v>2</v>
      </c>
      <c r="Y383" s="8" t="n">
        <v>76.23</v>
      </c>
      <c r="Z383" s="9" t="inlineStr">
        <is>
          <t>Success</t>
        </is>
      </c>
      <c r="AA383" s="2" t="inlineStr">
        <is>
          <t>2026-10-08 21:37:22</t>
        </is>
      </c>
    </row>
    <row r="384" ht="21.95" customHeight="1">
      <c r="A384" s="2" t="n">
        <v>383</v>
      </c>
      <c r="B384" s="31" t="inlineStr">
        <is>
          <t>http://www.narak.com</t>
        </is>
      </c>
      <c r="C384" s="2" t="inlineStr">
        <is>
          <t>บุคคล-สังคม</t>
        </is>
      </c>
      <c r="D384" s="25">
        <f>F384/71</f>
        <v/>
      </c>
      <c r="E384" s="26">
        <f>IF(D384&gt;=0.9,"ดีเยี่ยม",IF(D384&gt;=0.7,"ดี",IF(D384&gt;=0.5,"พอใช้","ต้องปรับปรุง")))</f>
        <v/>
      </c>
      <c r="F384" s="6">
        <f>J384+N384+R384+V384</f>
        <v/>
      </c>
      <c r="G384" s="6">
        <f>K384+O384+S384+W384</f>
        <v/>
      </c>
      <c r="H384" s="6">
        <f>L384+P384+T384+X384</f>
        <v/>
      </c>
      <c r="I384" s="7">
        <f>J384/37</f>
        <v/>
      </c>
      <c r="J384" s="6" t="n">
        <v>0</v>
      </c>
      <c r="K384" s="6" t="n">
        <v>37</v>
      </c>
      <c r="L384" s="6" t="n">
        <v>0</v>
      </c>
      <c r="M384" s="7">
        <f>N384/9</f>
        <v/>
      </c>
      <c r="N384" s="6" t="n">
        <v>0</v>
      </c>
      <c r="O384" s="6" t="n">
        <v>9</v>
      </c>
      <c r="P384" s="6" t="n">
        <v>0</v>
      </c>
      <c r="Q384" s="7">
        <f>R384/11</f>
        <v/>
      </c>
      <c r="R384" s="6" t="n">
        <v>0</v>
      </c>
      <c r="S384" s="6" t="n">
        <v>11</v>
      </c>
      <c r="T384" s="6" t="n">
        <v>0</v>
      </c>
      <c r="U384" s="7">
        <f>V384/14</f>
        <v/>
      </c>
      <c r="V384" s="6" t="n">
        <v>0</v>
      </c>
      <c r="W384" s="6" t="n">
        <v>14</v>
      </c>
      <c r="X384" s="6" t="n">
        <v>0</v>
      </c>
      <c r="Y384" s="8" t="n">
        <v>24.16</v>
      </c>
      <c r="Z384" s="27" t="inlineStr">
        <is>
          <t>Failed (Timeout (เว็บไม่ตอบ))</t>
        </is>
      </c>
      <c r="AA384" s="2" t="inlineStr">
        <is>
          <t>2026-10-21 00:13:37</t>
        </is>
      </c>
    </row>
    <row r="385" ht="21.95" customHeight="1">
      <c r="A385" s="2" t="n">
        <v>384</v>
      </c>
      <c r="B385" s="31" t="inlineStr">
        <is>
          <t>http://hamsiam.com</t>
        </is>
      </c>
      <c r="C385" s="2" t="inlineStr">
        <is>
          <t>ธุรกิจ</t>
        </is>
      </c>
      <c r="D385" s="4">
        <f>F385/71</f>
        <v/>
      </c>
      <c r="E385" s="5">
        <f>IF(D385&gt;=0.9,"ดีเยี่ยม",IF(D385&gt;=0.7,"ดี",IF(D385&gt;=0.5,"พอใช้","ต้องปรับปรุง")))</f>
        <v/>
      </c>
      <c r="F385" s="6">
        <f>J385+N385+R385+V385</f>
        <v/>
      </c>
      <c r="G385" s="6">
        <f>K385+O385+S385+W385</f>
        <v/>
      </c>
      <c r="H385" s="6">
        <f>L385+P385+T385+X385</f>
        <v/>
      </c>
      <c r="I385" s="7">
        <f>J385/37</f>
        <v/>
      </c>
      <c r="J385" s="6" t="n">
        <v>35</v>
      </c>
      <c r="K385" s="6" t="n">
        <v>2</v>
      </c>
      <c r="L385" s="6" t="n">
        <v>0</v>
      </c>
      <c r="M385" s="7">
        <f>N385/9</f>
        <v/>
      </c>
      <c r="N385" s="6" t="n">
        <v>9</v>
      </c>
      <c r="O385" s="6" t="n">
        <v>0</v>
      </c>
      <c r="P385" s="6" t="n">
        <v>0</v>
      </c>
      <c r="Q385" s="7">
        <f>R385/11</f>
        <v/>
      </c>
      <c r="R385" s="6" t="n">
        <v>6</v>
      </c>
      <c r="S385" s="6" t="n">
        <v>2</v>
      </c>
      <c r="T385" s="6" t="n">
        <v>3</v>
      </c>
      <c r="U385" s="7">
        <f>V385/14</f>
        <v/>
      </c>
      <c r="V385" s="6" t="n">
        <v>3</v>
      </c>
      <c r="W385" s="6" t="n">
        <v>11</v>
      </c>
      <c r="X385" s="6" t="n">
        <v>0</v>
      </c>
      <c r="Y385" s="8" t="n">
        <v>36.69</v>
      </c>
      <c r="Z385" s="9" t="inlineStr">
        <is>
          <t>Success</t>
        </is>
      </c>
      <c r="AA385" s="2" t="inlineStr">
        <is>
          <t>2026-10-08 21:39:10</t>
        </is>
      </c>
    </row>
    <row r="386" ht="21.95" customHeight="1">
      <c r="A386" s="2" t="n">
        <v>385</v>
      </c>
      <c r="B386" s="31" t="inlineStr">
        <is>
          <t>http://www.weddinginlove.com</t>
        </is>
      </c>
      <c r="C386" s="2" t="inlineStr">
        <is>
          <t>บุคคล-สังคม</t>
        </is>
      </c>
      <c r="D386" s="25">
        <f>F386/71</f>
        <v/>
      </c>
      <c r="E386" s="26">
        <f>IF(D386&gt;=0.9,"ดีเยี่ยม",IF(D386&gt;=0.7,"ดี",IF(D386&gt;=0.5,"พอใช้","ต้องปรับปรุง")))</f>
        <v/>
      </c>
      <c r="F386" s="6">
        <f>J386+N386+R386+V386</f>
        <v/>
      </c>
      <c r="G386" s="6">
        <f>K386+O386+S386+W386</f>
        <v/>
      </c>
      <c r="H386" s="6">
        <f>L386+P386+T386+X386</f>
        <v/>
      </c>
      <c r="I386" s="7">
        <f>J386/37</f>
        <v/>
      </c>
      <c r="J386" s="6" t="n">
        <v>0</v>
      </c>
      <c r="K386" s="6" t="n">
        <v>37</v>
      </c>
      <c r="L386" s="6" t="n">
        <v>0</v>
      </c>
      <c r="M386" s="7">
        <f>N386/9</f>
        <v/>
      </c>
      <c r="N386" s="6" t="n">
        <v>0</v>
      </c>
      <c r="O386" s="6" t="n">
        <v>9</v>
      </c>
      <c r="P386" s="6" t="n">
        <v>0</v>
      </c>
      <c r="Q386" s="7">
        <f>R386/11</f>
        <v/>
      </c>
      <c r="R386" s="6" t="n">
        <v>0</v>
      </c>
      <c r="S386" s="6" t="n">
        <v>11</v>
      </c>
      <c r="T386" s="6" t="n">
        <v>0</v>
      </c>
      <c r="U386" s="7">
        <f>V386/14</f>
        <v/>
      </c>
      <c r="V386" s="6" t="n">
        <v>0</v>
      </c>
      <c r="W386" s="6" t="n">
        <v>14</v>
      </c>
      <c r="X386" s="6" t="n">
        <v>0</v>
      </c>
      <c r="Y386" s="8" t="n">
        <v>24.19</v>
      </c>
      <c r="Z386" s="27" t="inlineStr">
        <is>
          <t>Failed (Timeout (เว็บไม่ตอบ))</t>
        </is>
      </c>
      <c r="AA386" s="2" t="inlineStr">
        <is>
          <t>2026-10-21 00:13:37</t>
        </is>
      </c>
    </row>
    <row r="387" ht="21.95" customHeight="1">
      <c r="A387" s="2" t="n">
        <v>386</v>
      </c>
      <c r="B387" s="31" t="inlineStr">
        <is>
          <t>http://www.easyhome.in.th</t>
        </is>
      </c>
      <c r="C387" s="2" t="inlineStr">
        <is>
          <t>อินเทอร์เน็ต</t>
        </is>
      </c>
      <c r="D387" s="10">
        <f>F387/71</f>
        <v/>
      </c>
      <c r="E387" s="11">
        <f>IF(D387&gt;=0.9,"ดีเยี่ยม",IF(D387&gt;=0.7,"ดี",IF(D387&gt;=0.5,"พอใช้","ต้องปรับปรุง")))</f>
        <v/>
      </c>
      <c r="F387" s="6">
        <f>J387+N387+R387+V387</f>
        <v/>
      </c>
      <c r="G387" s="6">
        <f>K387+O387+S387+W387</f>
        <v/>
      </c>
      <c r="H387" s="6">
        <f>L387+P387+T387+X387</f>
        <v/>
      </c>
      <c r="I387" s="7">
        <f>J387/37</f>
        <v/>
      </c>
      <c r="J387" s="6" t="n">
        <v>34</v>
      </c>
      <c r="K387" s="6" t="n">
        <v>1</v>
      </c>
      <c r="L387" s="6" t="n">
        <v>2</v>
      </c>
      <c r="M387" s="7">
        <f>N387/9</f>
        <v/>
      </c>
      <c r="N387" s="6" t="n">
        <v>6</v>
      </c>
      <c r="O387" s="6" t="n">
        <v>1</v>
      </c>
      <c r="P387" s="6" t="n">
        <v>2</v>
      </c>
      <c r="Q387" s="7">
        <f>R387/11</f>
        <v/>
      </c>
      <c r="R387" s="6" t="n">
        <v>3</v>
      </c>
      <c r="S387" s="6" t="n">
        <v>3</v>
      </c>
      <c r="T387" s="6" t="n">
        <v>5</v>
      </c>
      <c r="U387" s="7">
        <f>V387/14</f>
        <v/>
      </c>
      <c r="V387" s="6" t="n">
        <v>2</v>
      </c>
      <c r="W387" s="6" t="n">
        <v>12</v>
      </c>
      <c r="X387" s="6" t="n">
        <v>0</v>
      </c>
      <c r="Y387" s="8" t="n">
        <v>38.44</v>
      </c>
      <c r="Z387" s="9" t="inlineStr">
        <is>
          <t>Success</t>
        </is>
      </c>
      <c r="AA387" s="2" t="inlineStr">
        <is>
          <t>2026-10-08 21:40:26</t>
        </is>
      </c>
    </row>
    <row r="388" ht="21.95" customHeight="1">
      <c r="A388" s="2" t="n">
        <v>387</v>
      </c>
      <c r="B388" s="31" t="inlineStr">
        <is>
          <t>http://www.trainingmpi.com</t>
        </is>
      </c>
      <c r="C388" s="2" t="inlineStr">
        <is>
          <t>การศึกษา</t>
        </is>
      </c>
      <c r="D388" s="10">
        <f>F388/71</f>
        <v/>
      </c>
      <c r="E388" s="11">
        <f>IF(D388&gt;=0.9,"ดีเยี่ยม",IF(D388&gt;=0.7,"ดี",IF(D388&gt;=0.5,"พอใช้","ต้องปรับปรุง")))</f>
        <v/>
      </c>
      <c r="F388" s="6">
        <f>J388+N388+R388+V388</f>
        <v/>
      </c>
      <c r="G388" s="6">
        <f>K388+O388+S388+W388</f>
        <v/>
      </c>
      <c r="H388" s="6">
        <f>L388+P388+T388+X388</f>
        <v/>
      </c>
      <c r="I388" s="7">
        <f>J388/37</f>
        <v/>
      </c>
      <c r="J388" s="6" t="n">
        <v>32</v>
      </c>
      <c r="K388" s="6" t="n">
        <v>3</v>
      </c>
      <c r="L388" s="6" t="n">
        <v>2</v>
      </c>
      <c r="M388" s="7">
        <f>N388/9</f>
        <v/>
      </c>
      <c r="N388" s="6" t="n">
        <v>6</v>
      </c>
      <c r="O388" s="6" t="n">
        <v>3</v>
      </c>
      <c r="P388" s="6" t="n">
        <v>0</v>
      </c>
      <c r="Q388" s="7">
        <f>R388/11</f>
        <v/>
      </c>
      <c r="R388" s="6" t="n">
        <v>5</v>
      </c>
      <c r="S388" s="6" t="n">
        <v>3</v>
      </c>
      <c r="T388" s="6" t="n">
        <v>3</v>
      </c>
      <c r="U388" s="7">
        <f>V388/14</f>
        <v/>
      </c>
      <c r="V388" s="6" t="n">
        <v>2</v>
      </c>
      <c r="W388" s="6" t="n">
        <v>12</v>
      </c>
      <c r="X388" s="6" t="n">
        <v>0</v>
      </c>
      <c r="Y388" s="8" t="n">
        <v>37.6</v>
      </c>
      <c r="Z388" s="9" t="inlineStr">
        <is>
          <t>Success</t>
        </is>
      </c>
      <c r="AA388" s="2" t="inlineStr">
        <is>
          <t>2026-10-08 21:41:03</t>
        </is>
      </c>
    </row>
    <row r="389" ht="21.95" customHeight="1">
      <c r="A389" s="2" t="n">
        <v>388</v>
      </c>
      <c r="B389" s="31" t="inlineStr">
        <is>
          <t>http://www.parliament.go.th</t>
        </is>
      </c>
      <c r="C389" s="2" t="inlineStr">
        <is>
          <t>หน่วยงานราชการ,องค์กร</t>
        </is>
      </c>
      <c r="D389" s="10">
        <f>F389/71</f>
        <v/>
      </c>
      <c r="E389" s="11">
        <f>IF(D389&gt;=0.9,"ดีเยี่ยม",IF(D389&gt;=0.7,"ดี",IF(D389&gt;=0.5,"พอใช้","ต้องปรับปรุง")))</f>
        <v/>
      </c>
      <c r="F389" s="6">
        <f>J389+N389+R389+V389</f>
        <v/>
      </c>
      <c r="G389" s="6">
        <f>K389+O389+S389+W389</f>
        <v/>
      </c>
      <c r="H389" s="6">
        <f>L389+P389+T389+X389</f>
        <v/>
      </c>
      <c r="I389" s="7">
        <f>J389/37</f>
        <v/>
      </c>
      <c r="J389" s="6" t="n">
        <v>35</v>
      </c>
      <c r="K389" s="6" t="n">
        <v>1</v>
      </c>
      <c r="L389" s="6" t="n">
        <v>1</v>
      </c>
      <c r="M389" s="7">
        <f>N389/9</f>
        <v/>
      </c>
      <c r="N389" s="6" t="n">
        <v>8</v>
      </c>
      <c r="O389" s="6" t="n">
        <v>1</v>
      </c>
      <c r="P389" s="6" t="n">
        <v>0</v>
      </c>
      <c r="Q389" s="7">
        <f>R389/11</f>
        <v/>
      </c>
      <c r="R389" s="6" t="n">
        <v>2</v>
      </c>
      <c r="S389" s="6" t="n">
        <v>0</v>
      </c>
      <c r="T389" s="6" t="n">
        <v>9</v>
      </c>
      <c r="U389" s="7">
        <f>V389/14</f>
        <v/>
      </c>
      <c r="V389" s="6" t="n">
        <v>0</v>
      </c>
      <c r="W389" s="6" t="n">
        <v>0</v>
      </c>
      <c r="X389" s="6" t="n">
        <v>14</v>
      </c>
      <c r="Y389" s="8" t="n">
        <v>37.26</v>
      </c>
      <c r="Z389" s="9" t="inlineStr">
        <is>
          <t>Success</t>
        </is>
      </c>
      <c r="AA389" s="2" t="inlineStr">
        <is>
          <t>2026-10-08 21:41:41</t>
        </is>
      </c>
    </row>
    <row r="390" ht="21.95" customHeight="1">
      <c r="A390" s="2" t="n">
        <v>389</v>
      </c>
      <c r="B390" s="31" t="inlineStr">
        <is>
          <t>http://www.khonkaenlink.info</t>
        </is>
      </c>
      <c r="C390" s="2" t="inlineStr">
        <is>
          <t>บันเทิง</t>
        </is>
      </c>
      <c r="D390" s="4">
        <f>F390/71</f>
        <v/>
      </c>
      <c r="E390" s="5">
        <f>IF(D390&gt;=0.9,"ดีเยี่ยม",IF(D390&gt;=0.7,"ดี",IF(D390&gt;=0.5,"พอใช้","ต้องปรับปรุง")))</f>
        <v/>
      </c>
      <c r="F390" s="6">
        <f>J390+N390+R390+V390</f>
        <v/>
      </c>
      <c r="G390" s="6">
        <f>K390+O390+S390+W390</f>
        <v/>
      </c>
      <c r="H390" s="6">
        <f>L390+P390+T390+X390</f>
        <v/>
      </c>
      <c r="I390" s="7">
        <f>J390/37</f>
        <v/>
      </c>
      <c r="J390" s="6" t="n">
        <v>36</v>
      </c>
      <c r="K390" s="6" t="n">
        <v>0</v>
      </c>
      <c r="L390" s="6" t="n">
        <v>1</v>
      </c>
      <c r="M390" s="7">
        <f>N390/9</f>
        <v/>
      </c>
      <c r="N390" s="6" t="n">
        <v>7</v>
      </c>
      <c r="O390" s="6" t="n">
        <v>1</v>
      </c>
      <c r="P390" s="6" t="n">
        <v>1</v>
      </c>
      <c r="Q390" s="7">
        <f>R390/11</f>
        <v/>
      </c>
      <c r="R390" s="6" t="n">
        <v>5</v>
      </c>
      <c r="S390" s="6" t="n">
        <v>1</v>
      </c>
      <c r="T390" s="6" t="n">
        <v>5</v>
      </c>
      <c r="U390" s="7">
        <f>V390/14</f>
        <v/>
      </c>
      <c r="V390" s="6" t="n">
        <v>7</v>
      </c>
      <c r="W390" s="6" t="n">
        <v>7</v>
      </c>
      <c r="X390" s="6" t="n">
        <v>0</v>
      </c>
      <c r="Y390" s="8" t="n">
        <v>36.96</v>
      </c>
      <c r="Z390" s="9" t="inlineStr">
        <is>
          <t>Success</t>
        </is>
      </c>
      <c r="AA390" s="2" t="inlineStr">
        <is>
          <t>2026-10-08 21:42:17</t>
        </is>
      </c>
    </row>
    <row r="391" ht="21.95" customHeight="1">
      <c r="A391" s="2" t="n">
        <v>390</v>
      </c>
      <c r="B391" s="31" t="inlineStr">
        <is>
          <t>http://www.thaigoodview.com</t>
        </is>
      </c>
      <c r="C391" s="2" t="inlineStr">
        <is>
          <t>การศึกษา</t>
        </is>
      </c>
      <c r="D391" s="10">
        <f>F391/71</f>
        <v/>
      </c>
      <c r="E391" s="11">
        <f>IF(D391&gt;=0.9,"ดีเยี่ยม",IF(D391&gt;=0.7,"ดี",IF(D391&gt;=0.5,"พอใช้","ต้องปรับปรุง")))</f>
        <v/>
      </c>
      <c r="F391" s="6">
        <f>J391+N391+R391+V391</f>
        <v/>
      </c>
      <c r="G391" s="6">
        <f>K391+O391+S391+W391</f>
        <v/>
      </c>
      <c r="H391" s="6">
        <f>L391+P391+T391+X391</f>
        <v/>
      </c>
      <c r="I391" s="7">
        <f>J391/37</f>
        <v/>
      </c>
      <c r="J391" s="6" t="n">
        <v>35</v>
      </c>
      <c r="K391" s="6" t="n">
        <v>1</v>
      </c>
      <c r="L391" s="6" t="n">
        <v>1</v>
      </c>
      <c r="M391" s="7">
        <f>N391/9</f>
        <v/>
      </c>
      <c r="N391" s="6" t="n">
        <v>7</v>
      </c>
      <c r="O391" s="6" t="n">
        <v>1</v>
      </c>
      <c r="P391" s="6" t="n">
        <v>1</v>
      </c>
      <c r="Q391" s="7">
        <f>R391/11</f>
        <v/>
      </c>
      <c r="R391" s="6" t="n">
        <v>3</v>
      </c>
      <c r="S391" s="6" t="n">
        <v>3</v>
      </c>
      <c r="T391" s="6" t="n">
        <v>5</v>
      </c>
      <c r="U391" s="7">
        <f>V391/14</f>
        <v/>
      </c>
      <c r="V391" s="6" t="n">
        <v>3</v>
      </c>
      <c r="W391" s="6" t="n">
        <v>11</v>
      </c>
      <c r="X391" s="6" t="n">
        <v>0</v>
      </c>
      <c r="Y391" s="8" t="n">
        <v>35.56</v>
      </c>
      <c r="Z391" s="9" t="inlineStr">
        <is>
          <t>Success</t>
        </is>
      </c>
      <c r="AA391" s="2" t="inlineStr">
        <is>
          <t>2026-10-08 21:42:53</t>
        </is>
      </c>
    </row>
    <row r="392" ht="21.95" customHeight="1">
      <c r="A392" s="2" t="n">
        <v>391</v>
      </c>
      <c r="B392" s="31" t="inlineStr">
        <is>
          <t>http://www.nfi.or.th</t>
        </is>
      </c>
      <c r="C392" s="2" t="inlineStr">
        <is>
          <t>หน่วยงานราชการ,องค์กร</t>
        </is>
      </c>
      <c r="D392" s="10">
        <f>F392/71</f>
        <v/>
      </c>
      <c r="E392" s="11">
        <f>IF(D392&gt;=0.9,"ดีเยี่ยม",IF(D392&gt;=0.7,"ดี",IF(D392&gt;=0.5,"พอใช้","ต้องปรับปรุง")))</f>
        <v/>
      </c>
      <c r="F392" s="6">
        <f>J392+N392+R392+V392</f>
        <v/>
      </c>
      <c r="G392" s="6">
        <f>K392+O392+S392+W392</f>
        <v/>
      </c>
      <c r="H392" s="6">
        <f>L392+P392+T392+X392</f>
        <v/>
      </c>
      <c r="I392" s="7">
        <f>J392/37</f>
        <v/>
      </c>
      <c r="J392" s="6" t="n">
        <v>33</v>
      </c>
      <c r="K392" s="6" t="n">
        <v>3</v>
      </c>
      <c r="L392" s="6" t="n">
        <v>1</v>
      </c>
      <c r="M392" s="7">
        <f>N392/9</f>
        <v/>
      </c>
      <c r="N392" s="6" t="n">
        <v>9</v>
      </c>
      <c r="O392" s="6" t="n">
        <v>0</v>
      </c>
      <c r="P392" s="6" t="n">
        <v>0</v>
      </c>
      <c r="Q392" s="7">
        <f>R392/11</f>
        <v/>
      </c>
      <c r="R392" s="6" t="n">
        <v>5</v>
      </c>
      <c r="S392" s="6" t="n">
        <v>3</v>
      </c>
      <c r="T392" s="6" t="n">
        <v>3</v>
      </c>
      <c r="U392" s="7">
        <f>V392/14</f>
        <v/>
      </c>
      <c r="V392" s="6" t="n">
        <v>2</v>
      </c>
      <c r="W392" s="6" t="n">
        <v>12</v>
      </c>
      <c r="X392" s="6" t="n">
        <v>0</v>
      </c>
      <c r="Y392" s="8" t="n">
        <v>70.75</v>
      </c>
      <c r="Z392" s="9" t="inlineStr">
        <is>
          <t>Success</t>
        </is>
      </c>
      <c r="AA392" s="2" t="inlineStr">
        <is>
          <t>2026-10-08 21:44:04</t>
        </is>
      </c>
    </row>
    <row r="393" ht="21.95" customHeight="1">
      <c r="A393" s="2" t="n">
        <v>392</v>
      </c>
      <c r="B393" s="31" t="inlineStr">
        <is>
          <t>http://www.bangkokdive.com</t>
        </is>
      </c>
      <c r="C393" s="2" t="inlineStr">
        <is>
          <t>ท่องเที่ยว</t>
        </is>
      </c>
      <c r="D393" s="10">
        <f>F393/71</f>
        <v/>
      </c>
      <c r="E393" s="11">
        <f>IF(D393&gt;=0.9,"ดีเยี่ยม",IF(D393&gt;=0.7,"ดี",IF(D393&gt;=0.5,"พอใช้","ต้องปรับปรุง")))</f>
        <v/>
      </c>
      <c r="F393" s="6">
        <f>J393+N393+R393+V393</f>
        <v/>
      </c>
      <c r="G393" s="6">
        <f>K393+O393+S393+W393</f>
        <v/>
      </c>
      <c r="H393" s="6">
        <f>L393+P393+T393+X393</f>
        <v/>
      </c>
      <c r="I393" s="7">
        <f>J393/37</f>
        <v/>
      </c>
      <c r="J393" s="6" t="n">
        <v>32</v>
      </c>
      <c r="K393" s="6" t="n">
        <v>4</v>
      </c>
      <c r="L393" s="6" t="n">
        <v>1</v>
      </c>
      <c r="M393" s="7">
        <f>N393/9</f>
        <v/>
      </c>
      <c r="N393" s="6" t="n">
        <v>6</v>
      </c>
      <c r="O393" s="6" t="n">
        <v>1</v>
      </c>
      <c r="P393" s="6" t="n">
        <v>2</v>
      </c>
      <c r="Q393" s="7">
        <f>R393/11</f>
        <v/>
      </c>
      <c r="R393" s="6" t="n">
        <v>5</v>
      </c>
      <c r="S393" s="6" t="n">
        <v>3</v>
      </c>
      <c r="T393" s="6" t="n">
        <v>3</v>
      </c>
      <c r="U393" s="7">
        <f>V393/14</f>
        <v/>
      </c>
      <c r="V393" s="6" t="n">
        <v>2</v>
      </c>
      <c r="W393" s="6" t="n">
        <v>11</v>
      </c>
      <c r="X393" s="6" t="n">
        <v>1</v>
      </c>
      <c r="Y393" s="8" t="n">
        <v>53.58</v>
      </c>
      <c r="Z393" s="9" t="inlineStr">
        <is>
          <t>Success</t>
        </is>
      </c>
      <c r="AA393" s="2" t="inlineStr">
        <is>
          <t>2026-10-09 12:33:30</t>
        </is>
      </c>
    </row>
    <row r="394" ht="21.95" customHeight="1">
      <c r="A394" s="2" t="n">
        <v>393</v>
      </c>
      <c r="B394" s="31" t="inlineStr">
        <is>
          <t>http://www.manydomain.com</t>
        </is>
      </c>
      <c r="C394" s="2" t="inlineStr">
        <is>
          <t>อินเทอร์เน็ต</t>
        </is>
      </c>
      <c r="D394" s="25">
        <f>F394/71</f>
        <v/>
      </c>
      <c r="E394" s="26">
        <f>IF(D394&gt;=0.9,"ดีเยี่ยม",IF(D394&gt;=0.7,"ดี",IF(D394&gt;=0.5,"พอใช้","ต้องปรับปรุง")))</f>
        <v/>
      </c>
      <c r="F394" s="6">
        <f>J394+N394+R394+V394</f>
        <v/>
      </c>
      <c r="G394" s="6">
        <f>K394+O394+S394+W394</f>
        <v/>
      </c>
      <c r="H394" s="6">
        <f>L394+P394+T394+X394</f>
        <v/>
      </c>
      <c r="I394" s="7">
        <f>J394/37</f>
        <v/>
      </c>
      <c r="J394" s="6" t="n">
        <v>0</v>
      </c>
      <c r="K394" s="6" t="n">
        <v>37</v>
      </c>
      <c r="L394" s="6" t="n">
        <v>0</v>
      </c>
      <c r="M394" s="7">
        <f>N394/9</f>
        <v/>
      </c>
      <c r="N394" s="6" t="n">
        <v>0</v>
      </c>
      <c r="O394" s="6" t="n">
        <v>9</v>
      </c>
      <c r="P394" s="6" t="n">
        <v>0</v>
      </c>
      <c r="Q394" s="7">
        <f>R394/11</f>
        <v/>
      </c>
      <c r="R394" s="6" t="n">
        <v>0</v>
      </c>
      <c r="S394" s="6" t="n">
        <v>11</v>
      </c>
      <c r="T394" s="6" t="n">
        <v>0</v>
      </c>
      <c r="U394" s="7">
        <f>V394/14</f>
        <v/>
      </c>
      <c r="V394" s="6" t="n">
        <v>0</v>
      </c>
      <c r="W394" s="6" t="n">
        <v>14</v>
      </c>
      <c r="X394" s="6" t="n">
        <v>0</v>
      </c>
      <c r="Y394" s="8" t="n">
        <v>0.07000000000000001</v>
      </c>
      <c r="Z394" s="27" t="inlineStr">
        <is>
          <t>Failed (จอขาว / ไม่มีเนื้อหา (Blank Screen))</t>
        </is>
      </c>
      <c r="AA394" s="2" t="inlineStr">
        <is>
          <t>2026-10-21 00:13:37</t>
        </is>
      </c>
    </row>
    <row r="395" ht="21.95" customHeight="1">
      <c r="A395" s="2" t="n">
        <v>394</v>
      </c>
      <c r="B395" s="31" t="inlineStr">
        <is>
          <t>http://www.dreampoem.com</t>
        </is>
      </c>
      <c r="C395" s="2" t="inlineStr">
        <is>
          <t>ศิลปะ-วัฒนธรรม</t>
        </is>
      </c>
      <c r="D395" s="4">
        <f>F395/71</f>
        <v/>
      </c>
      <c r="E395" s="5">
        <f>IF(D395&gt;=0.9,"ดีเยี่ยม",IF(D395&gt;=0.7,"ดี",IF(D395&gt;=0.5,"พอใช้","ต้องปรับปรุง")))</f>
        <v/>
      </c>
      <c r="F395" s="6">
        <f>J395+N395+R395+V395</f>
        <v/>
      </c>
      <c r="G395" s="6">
        <f>K395+O395+S395+W395</f>
        <v/>
      </c>
      <c r="H395" s="6">
        <f>L395+P395+T395+X395</f>
        <v/>
      </c>
      <c r="I395" s="7">
        <f>J395/37</f>
        <v/>
      </c>
      <c r="J395" s="6" t="n">
        <v>35</v>
      </c>
      <c r="K395" s="6" t="n">
        <v>1</v>
      </c>
      <c r="L395" s="6" t="n">
        <v>1</v>
      </c>
      <c r="M395" s="7">
        <f>N395/9</f>
        <v/>
      </c>
      <c r="N395" s="6" t="n">
        <v>9</v>
      </c>
      <c r="O395" s="6" t="n">
        <v>0</v>
      </c>
      <c r="P395" s="6" t="n">
        <v>0</v>
      </c>
      <c r="Q395" s="7">
        <f>R395/11</f>
        <v/>
      </c>
      <c r="R395" s="6" t="n">
        <v>5</v>
      </c>
      <c r="S395" s="6" t="n">
        <v>3</v>
      </c>
      <c r="T395" s="6" t="n">
        <v>3</v>
      </c>
      <c r="U395" s="7">
        <f>V395/14</f>
        <v/>
      </c>
      <c r="V395" s="6" t="n">
        <v>2</v>
      </c>
      <c r="W395" s="6" t="n">
        <v>12</v>
      </c>
      <c r="X395" s="6" t="n">
        <v>0</v>
      </c>
      <c r="Y395" s="8" t="n">
        <v>41.65</v>
      </c>
      <c r="Z395" s="9" t="inlineStr">
        <is>
          <t>Success</t>
        </is>
      </c>
      <c r="AA395" s="2" t="inlineStr">
        <is>
          <t>2026-10-08 21:46:37</t>
        </is>
      </c>
    </row>
    <row r="396" ht="21.95" customHeight="1">
      <c r="A396" s="2" t="n">
        <v>395</v>
      </c>
      <c r="B396" s="31" t="inlineStr">
        <is>
          <t>http://soccersuck.com</t>
        </is>
      </c>
      <c r="C396" s="2" t="inlineStr">
        <is>
          <t>กีฬา</t>
        </is>
      </c>
      <c r="D396" s="10">
        <f>F396/71</f>
        <v/>
      </c>
      <c r="E396" s="11">
        <f>IF(D396&gt;=0.9,"ดีเยี่ยม",IF(D396&gt;=0.7,"ดี",IF(D396&gt;=0.5,"พอใช้","ต้องปรับปรุง")))</f>
        <v/>
      </c>
      <c r="F396" s="6">
        <f>J396+N396+R396+V396</f>
        <v/>
      </c>
      <c r="G396" s="6">
        <f>K396+O396+S396+W396</f>
        <v/>
      </c>
      <c r="H396" s="6">
        <f>L396+P396+T396+X396</f>
        <v/>
      </c>
      <c r="I396" s="7">
        <f>J396/37</f>
        <v/>
      </c>
      <c r="J396" s="6" t="n">
        <v>29</v>
      </c>
      <c r="K396" s="6" t="n">
        <v>7</v>
      </c>
      <c r="L396" s="6" t="n">
        <v>1</v>
      </c>
      <c r="M396" s="7">
        <f>N396/9</f>
        <v/>
      </c>
      <c r="N396" s="6" t="n">
        <v>9</v>
      </c>
      <c r="O396" s="6" t="n">
        <v>0</v>
      </c>
      <c r="P396" s="6" t="n">
        <v>0</v>
      </c>
      <c r="Q396" s="7">
        <f>R396/11</f>
        <v/>
      </c>
      <c r="R396" s="6" t="n">
        <v>4</v>
      </c>
      <c r="S396" s="6" t="n">
        <v>4</v>
      </c>
      <c r="T396" s="6" t="n">
        <v>3</v>
      </c>
      <c r="U396" s="7">
        <f>V396/14</f>
        <v/>
      </c>
      <c r="V396" s="6" t="n">
        <v>1</v>
      </c>
      <c r="W396" s="6" t="n">
        <v>13</v>
      </c>
      <c r="X396" s="6" t="n">
        <v>0</v>
      </c>
      <c r="Y396" s="8" t="n">
        <v>39.74</v>
      </c>
      <c r="Z396" s="9" t="inlineStr">
        <is>
          <t>Success</t>
        </is>
      </c>
      <c r="AA396" s="2" t="inlineStr">
        <is>
          <t>2026-10-08 21:47:17</t>
        </is>
      </c>
    </row>
    <row r="397" ht="21.95" customHeight="1">
      <c r="A397" s="2" t="n">
        <v>396</v>
      </c>
      <c r="B397" s="31" t="inlineStr">
        <is>
          <t>http://www.postjung.com</t>
        </is>
      </c>
      <c r="C397" s="2" t="inlineStr">
        <is>
          <t>บันเทิง</t>
        </is>
      </c>
      <c r="D397" s="10">
        <f>F397/71</f>
        <v/>
      </c>
      <c r="E397" s="11">
        <f>IF(D397&gt;=0.9,"ดีเยี่ยม",IF(D397&gt;=0.7,"ดี",IF(D397&gt;=0.5,"พอใช้","ต้องปรับปรุง")))</f>
        <v/>
      </c>
      <c r="F397" s="6">
        <f>J397+N397+R397+V397</f>
        <v/>
      </c>
      <c r="G397" s="6">
        <f>K397+O397+S397+W397</f>
        <v/>
      </c>
      <c r="H397" s="6">
        <f>L397+P397+T397+X397</f>
        <v/>
      </c>
      <c r="I397" s="7">
        <f>J397/37</f>
        <v/>
      </c>
      <c r="J397" s="6" t="n">
        <v>33</v>
      </c>
      <c r="K397" s="6" t="n">
        <v>2</v>
      </c>
      <c r="L397" s="6" t="n">
        <v>2</v>
      </c>
      <c r="M397" s="7">
        <f>N397/9</f>
        <v/>
      </c>
      <c r="N397" s="6" t="n">
        <v>7</v>
      </c>
      <c r="O397" s="6" t="n">
        <v>1</v>
      </c>
      <c r="P397" s="6" t="n">
        <v>1</v>
      </c>
      <c r="Q397" s="7">
        <f>R397/11</f>
        <v/>
      </c>
      <c r="R397" s="6" t="n">
        <v>4</v>
      </c>
      <c r="S397" s="6" t="n">
        <v>2</v>
      </c>
      <c r="T397" s="6" t="n">
        <v>5</v>
      </c>
      <c r="U397" s="7">
        <f>V397/14</f>
        <v/>
      </c>
      <c r="V397" s="6" t="n">
        <v>3</v>
      </c>
      <c r="W397" s="6" t="n">
        <v>11</v>
      </c>
      <c r="X397" s="6" t="n">
        <v>0</v>
      </c>
      <c r="Y397" s="8" t="n">
        <v>35.8</v>
      </c>
      <c r="Z397" s="9" t="inlineStr">
        <is>
          <t>Success</t>
        </is>
      </c>
      <c r="AA397" s="2" t="inlineStr">
        <is>
          <t>2026-10-08 21:47:52</t>
        </is>
      </c>
    </row>
    <row r="398" ht="21.95" customHeight="1">
      <c r="A398" s="2" t="n">
        <v>397</v>
      </c>
      <c r="B398" s="31" t="inlineStr">
        <is>
          <t>http://www.d-et.com</t>
        </is>
      </c>
      <c r="C398" s="2" t="inlineStr">
        <is>
          <t>ธุรกิจ</t>
        </is>
      </c>
      <c r="D398" s="10">
        <f>F398/71</f>
        <v/>
      </c>
      <c r="E398" s="11">
        <f>IF(D398&gt;=0.9,"ดีเยี่ยม",IF(D398&gt;=0.7,"ดี",IF(D398&gt;=0.5,"พอใช้","ต้องปรับปรุง")))</f>
        <v/>
      </c>
      <c r="F398" s="6">
        <f>J398+N398+R398+V398</f>
        <v/>
      </c>
      <c r="G398" s="6">
        <f>K398+O398+S398+W398</f>
        <v/>
      </c>
      <c r="H398" s="6">
        <f>L398+P398+T398+X398</f>
        <v/>
      </c>
      <c r="I398" s="7">
        <f>J398/37</f>
        <v/>
      </c>
      <c r="J398" s="6" t="n">
        <v>36</v>
      </c>
      <c r="K398" s="6" t="n">
        <v>1</v>
      </c>
      <c r="L398" s="6" t="n">
        <v>0</v>
      </c>
      <c r="M398" s="7">
        <f>N398/9</f>
        <v/>
      </c>
      <c r="N398" s="6" t="n">
        <v>6</v>
      </c>
      <c r="O398" s="6" t="n">
        <v>1</v>
      </c>
      <c r="P398" s="6" t="n">
        <v>2</v>
      </c>
      <c r="Q398" s="7">
        <f>R398/11</f>
        <v/>
      </c>
      <c r="R398" s="6" t="n">
        <v>1</v>
      </c>
      <c r="S398" s="6" t="n">
        <v>3</v>
      </c>
      <c r="T398" s="6" t="n">
        <v>7</v>
      </c>
      <c r="U398" s="7">
        <f>V398/14</f>
        <v/>
      </c>
      <c r="V398" s="6" t="n">
        <v>2</v>
      </c>
      <c r="W398" s="6" t="n">
        <v>12</v>
      </c>
      <c r="X398" s="6" t="n">
        <v>0</v>
      </c>
      <c r="Y398" s="8" t="n">
        <v>58.85</v>
      </c>
      <c r="Z398" s="9" t="inlineStr">
        <is>
          <t>Success</t>
        </is>
      </c>
      <c r="AA398" s="2" t="inlineStr">
        <is>
          <t>2026-10-08 21:48:51</t>
        </is>
      </c>
    </row>
    <row r="399" ht="21.95" customHeight="1">
      <c r="A399" s="2" t="n">
        <v>398</v>
      </c>
      <c r="B399" s="31" t="inlineStr">
        <is>
          <t>http://assetallocation.kasikornasset.com</t>
        </is>
      </c>
      <c r="C399" s="2" t="inlineStr">
        <is>
          <t>ธนาคาร-การเงิน</t>
        </is>
      </c>
      <c r="D399" s="25">
        <f>F399/71</f>
        <v/>
      </c>
      <c r="E399" s="26">
        <f>IF(D399&gt;=0.9,"ดีเยี่ยม",IF(D399&gt;=0.7,"ดี",IF(D399&gt;=0.5,"พอใช้","ต้องปรับปรุง")))</f>
        <v/>
      </c>
      <c r="F399" s="6">
        <f>J399+N399+R399+V399</f>
        <v/>
      </c>
      <c r="G399" s="6">
        <f>K399+O399+S399+W399</f>
        <v/>
      </c>
      <c r="H399" s="6">
        <f>L399+P399+T399+X399</f>
        <v/>
      </c>
      <c r="I399" s="7">
        <f>J399/37</f>
        <v/>
      </c>
      <c r="J399" s="6" t="n">
        <v>0</v>
      </c>
      <c r="K399" s="6" t="n">
        <v>37</v>
      </c>
      <c r="L399" s="6" t="n">
        <v>0</v>
      </c>
      <c r="M399" s="7">
        <f>N399/9</f>
        <v/>
      </c>
      <c r="N399" s="6" t="n">
        <v>0</v>
      </c>
      <c r="O399" s="6" t="n">
        <v>9</v>
      </c>
      <c r="P399" s="6" t="n">
        <v>0</v>
      </c>
      <c r="Q399" s="7">
        <f>R399/11</f>
        <v/>
      </c>
      <c r="R399" s="6" t="n">
        <v>0</v>
      </c>
      <c r="S399" s="6" t="n">
        <v>11</v>
      </c>
      <c r="T399" s="6" t="n">
        <v>0</v>
      </c>
      <c r="U399" s="7">
        <f>V399/14</f>
        <v/>
      </c>
      <c r="V399" s="6" t="n">
        <v>0</v>
      </c>
      <c r="W399" s="6" t="n">
        <v>14</v>
      </c>
      <c r="X399" s="6" t="n">
        <v>0</v>
      </c>
      <c r="Y399" s="8" t="n">
        <v>0.17</v>
      </c>
      <c r="Z399" s="27" t="inlineStr">
        <is>
          <t>Failed (โดนบล็อก / เข้าถึงไม่ได้ (HTTP 403))</t>
        </is>
      </c>
      <c r="AA399" s="2" t="inlineStr">
        <is>
          <t>2026-10-21 00:13:37</t>
        </is>
      </c>
    </row>
    <row r="400" ht="21.95" customHeight="1">
      <c r="A400" s="2" t="n">
        <v>399</v>
      </c>
      <c r="B400" s="31" t="inlineStr">
        <is>
          <t>http://www.nootalon.com</t>
        </is>
      </c>
      <c r="C400" s="2" t="inlineStr">
        <is>
          <t>ท่องเที่ยว</t>
        </is>
      </c>
      <c r="D400" s="10">
        <f>F400/71</f>
        <v/>
      </c>
      <c r="E400" s="11">
        <f>IF(D400&gt;=0.9,"ดีเยี่ยม",IF(D400&gt;=0.7,"ดี",IF(D400&gt;=0.5,"พอใช้","ต้องปรับปรุง")))</f>
        <v/>
      </c>
      <c r="F400" s="6">
        <f>J400+N400+R400+V400</f>
        <v/>
      </c>
      <c r="G400" s="6">
        <f>K400+O400+S400+W400</f>
        <v/>
      </c>
      <c r="H400" s="6">
        <f>L400+P400+T400+X400</f>
        <v/>
      </c>
      <c r="I400" s="7">
        <f>J400/37</f>
        <v/>
      </c>
      <c r="J400" s="6" t="n">
        <v>30</v>
      </c>
      <c r="K400" s="6" t="n">
        <v>6</v>
      </c>
      <c r="L400" s="6" t="n">
        <v>1</v>
      </c>
      <c r="M400" s="7">
        <f>N400/9</f>
        <v/>
      </c>
      <c r="N400" s="6" t="n">
        <v>7</v>
      </c>
      <c r="O400" s="6" t="n">
        <v>2</v>
      </c>
      <c r="P400" s="6" t="n">
        <v>0</v>
      </c>
      <c r="Q400" s="7">
        <f>R400/11</f>
        <v/>
      </c>
      <c r="R400" s="6" t="n">
        <v>3</v>
      </c>
      <c r="S400" s="6" t="n">
        <v>3</v>
      </c>
      <c r="T400" s="6" t="n">
        <v>5</v>
      </c>
      <c r="U400" s="7">
        <f>V400/14</f>
        <v/>
      </c>
      <c r="V400" s="6" t="n">
        <v>4</v>
      </c>
      <c r="W400" s="6" t="n">
        <v>10</v>
      </c>
      <c r="X400" s="6" t="n">
        <v>0</v>
      </c>
      <c r="Y400" s="8" t="n">
        <v>38.78</v>
      </c>
      <c r="Z400" s="9" t="inlineStr">
        <is>
          <t>Success</t>
        </is>
      </c>
      <c r="AA400" s="2" t="inlineStr">
        <is>
          <t>2026-10-08 21:50:05</t>
        </is>
      </c>
    </row>
    <row r="401" ht="21.95" customHeight="1">
      <c r="A401" s="2" t="n">
        <v>400</v>
      </c>
      <c r="B401" s="31" t="inlineStr">
        <is>
          <t>http://www.st.ac.th</t>
        </is>
      </c>
      <c r="C401" s="2" t="inlineStr">
        <is>
          <t>การศึกษา</t>
        </is>
      </c>
      <c r="D401" s="10">
        <f>F401/71</f>
        <v/>
      </c>
      <c r="E401" s="11">
        <f>IF(D401&gt;=0.9,"ดีเยี่ยม",IF(D401&gt;=0.7,"ดี",IF(D401&gt;=0.5,"พอใช้","ต้องปรับปรุง")))</f>
        <v/>
      </c>
      <c r="F401" s="6">
        <f>J401+N401+R401+V401</f>
        <v/>
      </c>
      <c r="G401" s="6">
        <f>K401+O401+S401+W401</f>
        <v/>
      </c>
      <c r="H401" s="6">
        <f>L401+P401+T401+X401</f>
        <v/>
      </c>
      <c r="I401" s="7">
        <f>J401/37</f>
        <v/>
      </c>
      <c r="J401" s="6" t="n">
        <v>33</v>
      </c>
      <c r="K401" s="6" t="n">
        <v>4</v>
      </c>
      <c r="L401" s="6" t="n">
        <v>0</v>
      </c>
      <c r="M401" s="7">
        <f>N401/9</f>
        <v/>
      </c>
      <c r="N401" s="6" t="n">
        <v>7</v>
      </c>
      <c r="O401" s="6" t="n">
        <v>2</v>
      </c>
      <c r="P401" s="6" t="n">
        <v>0</v>
      </c>
      <c r="Q401" s="7">
        <f>R401/11</f>
        <v/>
      </c>
      <c r="R401" s="6" t="n">
        <v>2</v>
      </c>
      <c r="S401" s="6" t="n">
        <v>4</v>
      </c>
      <c r="T401" s="6" t="n">
        <v>5</v>
      </c>
      <c r="U401" s="7">
        <f>V401/14</f>
        <v/>
      </c>
      <c r="V401" s="6" t="n">
        <v>1</v>
      </c>
      <c r="W401" s="6" t="n">
        <v>13</v>
      </c>
      <c r="X401" s="6" t="n">
        <v>0</v>
      </c>
      <c r="Y401" s="8" t="n">
        <v>36.14</v>
      </c>
      <c r="Z401" s="9" t="inlineStr">
        <is>
          <t>Success</t>
        </is>
      </c>
      <c r="AA401" s="2" t="inlineStr">
        <is>
          <t>2026-10-08 21:50:41</t>
        </is>
      </c>
    </row>
    <row r="402" ht="21.95" customHeight="1">
      <c r="A402" s="2" t="n">
        <v>401</v>
      </c>
      <c r="B402" s="31" t="inlineStr">
        <is>
          <t>http://www.neonic.co.th</t>
        </is>
      </c>
      <c r="C402" s="2" t="inlineStr">
        <is>
          <t>ช๊อปปิ้ง</t>
        </is>
      </c>
      <c r="D402" s="10">
        <f>F402/71</f>
        <v/>
      </c>
      <c r="E402" s="11">
        <f>IF(D402&gt;=0.9,"ดีเยี่ยม",IF(D402&gt;=0.7,"ดี",IF(D402&gt;=0.5,"พอใช้","ต้องปรับปรุง")))</f>
        <v/>
      </c>
      <c r="F402" s="6">
        <f>J402+N402+R402+V402</f>
        <v/>
      </c>
      <c r="G402" s="6">
        <f>K402+O402+S402+W402</f>
        <v/>
      </c>
      <c r="H402" s="6">
        <f>L402+P402+T402+X402</f>
        <v/>
      </c>
      <c r="I402" s="7">
        <f>J402/37</f>
        <v/>
      </c>
      <c r="J402" s="6" t="n">
        <v>32</v>
      </c>
      <c r="K402" s="6" t="n">
        <v>4</v>
      </c>
      <c r="L402" s="6" t="n">
        <v>1</v>
      </c>
      <c r="M402" s="7">
        <f>N402/9</f>
        <v/>
      </c>
      <c r="N402" s="6" t="n">
        <v>7</v>
      </c>
      <c r="O402" s="6" t="n">
        <v>2</v>
      </c>
      <c r="P402" s="6" t="n">
        <v>0</v>
      </c>
      <c r="Q402" s="7">
        <f>R402/11</f>
        <v/>
      </c>
      <c r="R402" s="6" t="n">
        <v>2</v>
      </c>
      <c r="S402" s="6" t="n">
        <v>4</v>
      </c>
      <c r="T402" s="6" t="n">
        <v>5</v>
      </c>
      <c r="U402" s="7">
        <f>V402/14</f>
        <v/>
      </c>
      <c r="V402" s="6" t="n">
        <v>2</v>
      </c>
      <c r="W402" s="6" t="n">
        <v>12</v>
      </c>
      <c r="X402" s="6" t="n">
        <v>0</v>
      </c>
      <c r="Y402" s="8" t="n">
        <v>48.35</v>
      </c>
      <c r="Z402" s="9" t="inlineStr">
        <is>
          <t>Success</t>
        </is>
      </c>
      <c r="AA402" s="2" t="inlineStr">
        <is>
          <t>2026-10-08 21:51:30</t>
        </is>
      </c>
    </row>
    <row r="403" ht="21.95" customHeight="1">
      <c r="A403" s="2" t="n">
        <v>402</v>
      </c>
      <c r="B403" s="31" t="inlineStr">
        <is>
          <t>http://www.nectec.or.th</t>
        </is>
      </c>
      <c r="C403" s="2" t="inlineStr">
        <is>
          <t>หน่วยงานราชการ,องค์กร</t>
        </is>
      </c>
      <c r="D403" s="10">
        <f>F403/71</f>
        <v/>
      </c>
      <c r="E403" s="11">
        <f>IF(D403&gt;=0.9,"ดีเยี่ยม",IF(D403&gt;=0.7,"ดี",IF(D403&gt;=0.5,"พอใช้","ต้องปรับปรุง")))</f>
        <v/>
      </c>
      <c r="F403" s="6">
        <f>J403+N403+R403+V403</f>
        <v/>
      </c>
      <c r="G403" s="6">
        <f>K403+O403+S403+W403</f>
        <v/>
      </c>
      <c r="H403" s="6">
        <f>L403+P403+T403+X403</f>
        <v/>
      </c>
      <c r="I403" s="7">
        <f>J403/37</f>
        <v/>
      </c>
      <c r="J403" s="6" t="n">
        <v>34</v>
      </c>
      <c r="K403" s="6" t="n">
        <v>3</v>
      </c>
      <c r="L403" s="6" t="n">
        <v>0</v>
      </c>
      <c r="M403" s="7">
        <f>N403/9</f>
        <v/>
      </c>
      <c r="N403" s="6" t="n">
        <v>8</v>
      </c>
      <c r="O403" s="6" t="n">
        <v>1</v>
      </c>
      <c r="P403" s="6" t="n">
        <v>0</v>
      </c>
      <c r="Q403" s="7">
        <f>R403/11</f>
        <v/>
      </c>
      <c r="R403" s="6" t="n">
        <v>4</v>
      </c>
      <c r="S403" s="6" t="n">
        <v>3</v>
      </c>
      <c r="T403" s="6" t="n">
        <v>4</v>
      </c>
      <c r="U403" s="7">
        <f>V403/14</f>
        <v/>
      </c>
      <c r="V403" s="6" t="n">
        <v>2</v>
      </c>
      <c r="W403" s="6" t="n">
        <v>11</v>
      </c>
      <c r="X403" s="6" t="n">
        <v>1</v>
      </c>
      <c r="Y403" s="8" t="n">
        <v>35.84</v>
      </c>
      <c r="Z403" s="9" t="inlineStr">
        <is>
          <t>Success</t>
        </is>
      </c>
      <c r="AA403" s="2" t="inlineStr">
        <is>
          <t>2026-10-08 21:52:06</t>
        </is>
      </c>
    </row>
    <row r="404" ht="21.95" customHeight="1">
      <c r="A404" s="2" t="n">
        <v>403</v>
      </c>
      <c r="B404" s="31" t="inlineStr">
        <is>
          <t>http://www.tgreinstitute.com</t>
        </is>
      </c>
      <c r="C404" s="2" t="inlineStr">
        <is>
          <t>การศึกษา</t>
        </is>
      </c>
      <c r="D404" s="10">
        <f>F404/71</f>
        <v/>
      </c>
      <c r="E404" s="11">
        <f>IF(D404&gt;=0.9,"ดีเยี่ยม",IF(D404&gt;=0.7,"ดี",IF(D404&gt;=0.5,"พอใช้","ต้องปรับปรุง")))</f>
        <v/>
      </c>
      <c r="F404" s="6">
        <f>J404+N404+R404+V404</f>
        <v/>
      </c>
      <c r="G404" s="6">
        <f>K404+O404+S404+W404</f>
        <v/>
      </c>
      <c r="H404" s="6">
        <f>L404+P404+T404+X404</f>
        <v/>
      </c>
      <c r="I404" s="7">
        <f>J404/37</f>
        <v/>
      </c>
      <c r="J404" s="6" t="n">
        <v>33</v>
      </c>
      <c r="K404" s="6" t="n">
        <v>3</v>
      </c>
      <c r="L404" s="6" t="n">
        <v>1</v>
      </c>
      <c r="M404" s="7">
        <f>N404/9</f>
        <v/>
      </c>
      <c r="N404" s="6" t="n">
        <v>6</v>
      </c>
      <c r="O404" s="6" t="n">
        <v>3</v>
      </c>
      <c r="P404" s="6" t="n">
        <v>0</v>
      </c>
      <c r="Q404" s="7">
        <f>R404/11</f>
        <v/>
      </c>
      <c r="R404" s="6" t="n">
        <v>3</v>
      </c>
      <c r="S404" s="6" t="n">
        <v>3</v>
      </c>
      <c r="T404" s="6" t="n">
        <v>5</v>
      </c>
      <c r="U404" s="7">
        <f>V404/14</f>
        <v/>
      </c>
      <c r="V404" s="6" t="n">
        <v>2</v>
      </c>
      <c r="W404" s="6" t="n">
        <v>12</v>
      </c>
      <c r="X404" s="6" t="n">
        <v>0</v>
      </c>
      <c r="Y404" s="8" t="n">
        <v>42.19</v>
      </c>
      <c r="Z404" s="9" t="inlineStr">
        <is>
          <t>Success</t>
        </is>
      </c>
      <c r="AA404" s="2" t="inlineStr">
        <is>
          <t>2026-10-08 21:52:48</t>
        </is>
      </c>
    </row>
    <row r="405" ht="21.95" customHeight="1">
      <c r="A405" s="2" t="n">
        <v>404</v>
      </c>
      <c r="B405" s="31" t="inlineStr">
        <is>
          <t>http://www.sb-furniture.com</t>
        </is>
      </c>
      <c r="C405" s="2" t="inlineStr">
        <is>
          <t>อสังหาริมทรัพย์-ก่อสร้าง</t>
        </is>
      </c>
      <c r="D405" s="10">
        <f>F405/71</f>
        <v/>
      </c>
      <c r="E405" s="11">
        <f>IF(D405&gt;=0.9,"ดีเยี่ยม",IF(D405&gt;=0.7,"ดี",IF(D405&gt;=0.5,"พอใช้","ต้องปรับปรุง")))</f>
        <v/>
      </c>
      <c r="F405" s="6">
        <f>J405+N405+R405+V405</f>
        <v/>
      </c>
      <c r="G405" s="6">
        <f>K405+O405+S405+W405</f>
        <v/>
      </c>
      <c r="H405" s="6">
        <f>L405+P405+T405+X405</f>
        <v/>
      </c>
      <c r="I405" s="7">
        <f>J405/37</f>
        <v/>
      </c>
      <c r="J405" s="6" t="n">
        <v>32</v>
      </c>
      <c r="K405" s="6" t="n">
        <v>4</v>
      </c>
      <c r="L405" s="6" t="n">
        <v>1</v>
      </c>
      <c r="M405" s="7">
        <f>N405/9</f>
        <v/>
      </c>
      <c r="N405" s="6" t="n">
        <v>6</v>
      </c>
      <c r="O405" s="6" t="n">
        <v>3</v>
      </c>
      <c r="P405" s="6" t="n">
        <v>0</v>
      </c>
      <c r="Q405" s="7">
        <f>R405/11</f>
        <v/>
      </c>
      <c r="R405" s="6" t="n">
        <v>2</v>
      </c>
      <c r="S405" s="6" t="n">
        <v>4</v>
      </c>
      <c r="T405" s="6" t="n">
        <v>5</v>
      </c>
      <c r="U405" s="7">
        <f>V405/14</f>
        <v/>
      </c>
      <c r="V405" s="6" t="n">
        <v>1</v>
      </c>
      <c r="W405" s="6" t="n">
        <v>12</v>
      </c>
      <c r="X405" s="6" t="n">
        <v>1</v>
      </c>
      <c r="Y405" s="8" t="n">
        <v>89.14</v>
      </c>
      <c r="Z405" s="9" t="inlineStr">
        <is>
          <t>Success</t>
        </is>
      </c>
      <c r="AA405" s="2" t="inlineStr">
        <is>
          <t>2026-10-08 21:54:17</t>
        </is>
      </c>
    </row>
    <row r="406" ht="21.95" customHeight="1">
      <c r="A406" s="2" t="n">
        <v>405</v>
      </c>
      <c r="B406" s="31" t="inlineStr">
        <is>
          <t>http://www.netwayhost.com</t>
        </is>
      </c>
      <c r="C406" s="2" t="inlineStr">
        <is>
          <t>อินเทอร์เน็ต</t>
        </is>
      </c>
      <c r="D406" s="10">
        <f>F406/71</f>
        <v/>
      </c>
      <c r="E406" s="11">
        <f>IF(D406&gt;=0.9,"ดีเยี่ยม",IF(D406&gt;=0.7,"ดี",IF(D406&gt;=0.5,"พอใช้","ต้องปรับปรุง")))</f>
        <v/>
      </c>
      <c r="F406" s="6">
        <f>J406+N406+R406+V406</f>
        <v/>
      </c>
      <c r="G406" s="6">
        <f>K406+O406+S406+W406</f>
        <v/>
      </c>
      <c r="H406" s="6">
        <f>L406+P406+T406+X406</f>
        <v/>
      </c>
      <c r="I406" s="7">
        <f>J406/37</f>
        <v/>
      </c>
      <c r="J406" s="6" t="n">
        <v>34</v>
      </c>
      <c r="K406" s="6" t="n">
        <v>3</v>
      </c>
      <c r="L406" s="6" t="n">
        <v>0</v>
      </c>
      <c r="M406" s="7">
        <f>N406/9</f>
        <v/>
      </c>
      <c r="N406" s="6" t="n">
        <v>7</v>
      </c>
      <c r="O406" s="6" t="n">
        <v>1</v>
      </c>
      <c r="P406" s="6" t="n">
        <v>1</v>
      </c>
      <c r="Q406" s="7">
        <f>R406/11</f>
        <v/>
      </c>
      <c r="R406" s="6" t="n">
        <v>1</v>
      </c>
      <c r="S406" s="6" t="n">
        <v>3</v>
      </c>
      <c r="T406" s="6" t="n">
        <v>7</v>
      </c>
      <c r="U406" s="7">
        <f>V406/14</f>
        <v/>
      </c>
      <c r="V406" s="6" t="n">
        <v>2</v>
      </c>
      <c r="W406" s="6" t="n">
        <v>12</v>
      </c>
      <c r="X406" s="6" t="n">
        <v>0</v>
      </c>
      <c r="Y406" s="8" t="n">
        <v>46.78</v>
      </c>
      <c r="Z406" s="9" t="inlineStr">
        <is>
          <t>Success</t>
        </is>
      </c>
      <c r="AA406" s="2" t="inlineStr">
        <is>
          <t>2026-10-08 21:55:04</t>
        </is>
      </c>
    </row>
    <row r="407" ht="21.95" customHeight="1">
      <c r="A407" s="2" t="n">
        <v>406</v>
      </c>
      <c r="B407" s="31" t="inlineStr">
        <is>
          <t>http://www.ddproperty.com</t>
        </is>
      </c>
      <c r="C407" s="2" t="inlineStr">
        <is>
          <t>อสังหาริมทรัพย์-ก่อสร้าง</t>
        </is>
      </c>
      <c r="D407" s="4">
        <f>F407/71</f>
        <v/>
      </c>
      <c r="E407" s="5">
        <f>IF(D407&gt;=0.9,"ดีเยี่ยม",IF(D407&gt;=0.7,"ดี",IF(D407&gt;=0.5,"พอใช้","ต้องปรับปรุง")))</f>
        <v/>
      </c>
      <c r="F407" s="6">
        <f>J407+N407+R407+V407</f>
        <v/>
      </c>
      <c r="G407" s="6">
        <f>K407+O407+S407+W407</f>
        <v/>
      </c>
      <c r="H407" s="6">
        <f>L407+P407+T407+X407</f>
        <v/>
      </c>
      <c r="I407" s="7">
        <f>J407/37</f>
        <v/>
      </c>
      <c r="J407" s="6" t="n">
        <v>37</v>
      </c>
      <c r="K407" s="6" t="n">
        <v>0</v>
      </c>
      <c r="L407" s="6" t="n">
        <v>0</v>
      </c>
      <c r="M407" s="7">
        <f>N407/9</f>
        <v/>
      </c>
      <c r="N407" s="6" t="n">
        <v>7</v>
      </c>
      <c r="O407" s="6" t="n">
        <v>2</v>
      </c>
      <c r="P407" s="6" t="n">
        <v>0</v>
      </c>
      <c r="Q407" s="7">
        <f>R407/11</f>
        <v/>
      </c>
      <c r="R407" s="6" t="n">
        <v>6</v>
      </c>
      <c r="S407" s="6" t="n">
        <v>2</v>
      </c>
      <c r="T407" s="6" t="n">
        <v>3</v>
      </c>
      <c r="U407" s="7">
        <f>V407/14</f>
        <v/>
      </c>
      <c r="V407" s="6" t="n">
        <v>9</v>
      </c>
      <c r="W407" s="6" t="n">
        <v>4</v>
      </c>
      <c r="X407" s="6" t="n">
        <v>1</v>
      </c>
      <c r="Y407" s="8" t="n">
        <v>35.7</v>
      </c>
      <c r="Z407" s="9" t="inlineStr">
        <is>
          <t>Success</t>
        </is>
      </c>
      <c r="AA407" s="2" t="inlineStr">
        <is>
          <t>2026-10-08 21:55:39</t>
        </is>
      </c>
    </row>
    <row r="408" ht="21.95" customHeight="1">
      <c r="A408" s="2" t="n">
        <v>407</v>
      </c>
      <c r="B408" s="31" t="inlineStr">
        <is>
          <t>http://www.campthai.com</t>
        </is>
      </c>
      <c r="C408" s="2" t="inlineStr">
        <is>
          <t>ช๊อปปิ้ง</t>
        </is>
      </c>
      <c r="D408" s="10">
        <f>F408/71</f>
        <v/>
      </c>
      <c r="E408" s="11">
        <f>IF(D408&gt;=0.9,"ดีเยี่ยม",IF(D408&gt;=0.7,"ดี",IF(D408&gt;=0.5,"พอใช้","ต้องปรับปรุง")))</f>
        <v/>
      </c>
      <c r="F408" s="6">
        <f>J408+N408+R408+V408</f>
        <v/>
      </c>
      <c r="G408" s="6">
        <f>K408+O408+S408+W408</f>
        <v/>
      </c>
      <c r="H408" s="6">
        <f>L408+P408+T408+X408</f>
        <v/>
      </c>
      <c r="I408" s="7">
        <f>J408/37</f>
        <v/>
      </c>
      <c r="J408" s="6" t="n">
        <v>30</v>
      </c>
      <c r="K408" s="6" t="n">
        <v>6</v>
      </c>
      <c r="L408" s="6" t="n">
        <v>1</v>
      </c>
      <c r="M408" s="7">
        <f>N408/9</f>
        <v/>
      </c>
      <c r="N408" s="6" t="n">
        <v>8</v>
      </c>
      <c r="O408" s="6" t="n">
        <v>1</v>
      </c>
      <c r="P408" s="6" t="n">
        <v>0</v>
      </c>
      <c r="Q408" s="7">
        <f>R408/11</f>
        <v/>
      </c>
      <c r="R408" s="6" t="n">
        <v>2</v>
      </c>
      <c r="S408" s="6" t="n">
        <v>4</v>
      </c>
      <c r="T408" s="6" t="n">
        <v>5</v>
      </c>
      <c r="U408" s="7">
        <f>V408/14</f>
        <v/>
      </c>
      <c r="V408" s="6" t="n">
        <v>2</v>
      </c>
      <c r="W408" s="6" t="n">
        <v>12</v>
      </c>
      <c r="X408" s="6" t="n">
        <v>0</v>
      </c>
      <c r="Y408" s="8" t="n">
        <v>49.13</v>
      </c>
      <c r="Z408" s="9" t="inlineStr">
        <is>
          <t>Success</t>
        </is>
      </c>
      <c r="AA408" s="2" t="inlineStr">
        <is>
          <t>2026-10-08 21:56:29</t>
        </is>
      </c>
    </row>
    <row r="409" ht="21.95" customHeight="1">
      <c r="A409" s="2" t="n">
        <v>408</v>
      </c>
      <c r="B409" s="31" t="inlineStr">
        <is>
          <t>http://www.ftawatch.org</t>
        </is>
      </c>
      <c r="C409" s="2" t="inlineStr">
        <is>
          <t>การศึกษา</t>
        </is>
      </c>
      <c r="D409" s="10">
        <f>F409/71</f>
        <v/>
      </c>
      <c r="E409" s="11">
        <f>IF(D409&gt;=0.9,"ดีเยี่ยม",IF(D409&gt;=0.7,"ดี",IF(D409&gt;=0.5,"พอใช้","ต้องปรับปรุง")))</f>
        <v/>
      </c>
      <c r="F409" s="6">
        <f>J409+N409+R409+V409</f>
        <v/>
      </c>
      <c r="G409" s="6">
        <f>K409+O409+S409+W409</f>
        <v/>
      </c>
      <c r="H409" s="6">
        <f>L409+P409+T409+X409</f>
        <v/>
      </c>
      <c r="I409" s="7">
        <f>J409/37</f>
        <v/>
      </c>
      <c r="J409" s="6" t="n">
        <v>32</v>
      </c>
      <c r="K409" s="6" t="n">
        <v>5</v>
      </c>
      <c r="L409" s="6" t="n">
        <v>0</v>
      </c>
      <c r="M409" s="7">
        <f>N409/9</f>
        <v/>
      </c>
      <c r="N409" s="6" t="n">
        <v>6</v>
      </c>
      <c r="O409" s="6" t="n">
        <v>3</v>
      </c>
      <c r="P409" s="6" t="n">
        <v>0</v>
      </c>
      <c r="Q409" s="7">
        <f>R409/11</f>
        <v/>
      </c>
      <c r="R409" s="6" t="n">
        <v>3</v>
      </c>
      <c r="S409" s="6" t="n">
        <v>3</v>
      </c>
      <c r="T409" s="6" t="n">
        <v>5</v>
      </c>
      <c r="U409" s="7">
        <f>V409/14</f>
        <v/>
      </c>
      <c r="V409" s="6" t="n">
        <v>2</v>
      </c>
      <c r="W409" s="6" t="n">
        <v>12</v>
      </c>
      <c r="X409" s="6" t="n">
        <v>0</v>
      </c>
      <c r="Y409" s="8" t="n">
        <v>56</v>
      </c>
      <c r="Z409" s="9" t="inlineStr">
        <is>
          <t>Success</t>
        </is>
      </c>
      <c r="AA409" s="2" t="inlineStr">
        <is>
          <t>2026-10-08 21:57:25</t>
        </is>
      </c>
    </row>
    <row r="410" ht="21.95" customHeight="1">
      <c r="A410" s="2" t="n">
        <v>409</v>
      </c>
      <c r="B410" s="31" t="inlineStr">
        <is>
          <t>http://www.zdee.com</t>
        </is>
      </c>
      <c r="C410" s="2" t="inlineStr">
        <is>
          <t>คอมพิวเตอร์</t>
        </is>
      </c>
      <c r="D410" s="10">
        <f>F410/71</f>
        <v/>
      </c>
      <c r="E410" s="11">
        <f>IF(D410&gt;=0.9,"ดีเยี่ยม",IF(D410&gt;=0.7,"ดี",IF(D410&gt;=0.5,"พอใช้","ต้องปรับปรุง")))</f>
        <v/>
      </c>
      <c r="F410" s="6">
        <f>J410+N410+R410+V410</f>
        <v/>
      </c>
      <c r="G410" s="6">
        <f>K410+O410+S410+W410</f>
        <v/>
      </c>
      <c r="H410" s="6">
        <f>L410+P410+T410+X410</f>
        <v/>
      </c>
      <c r="I410" s="7">
        <f>J410/37</f>
        <v/>
      </c>
      <c r="J410" s="6" t="n">
        <v>33</v>
      </c>
      <c r="K410" s="6" t="n">
        <v>3</v>
      </c>
      <c r="L410" s="6" t="n">
        <v>1</v>
      </c>
      <c r="M410" s="7">
        <f>N410/9</f>
        <v/>
      </c>
      <c r="N410" s="6" t="n">
        <v>6</v>
      </c>
      <c r="O410" s="6" t="n">
        <v>3</v>
      </c>
      <c r="P410" s="6" t="n">
        <v>0</v>
      </c>
      <c r="Q410" s="7">
        <f>R410/11</f>
        <v/>
      </c>
      <c r="R410" s="6" t="n">
        <v>3</v>
      </c>
      <c r="S410" s="6" t="n">
        <v>3</v>
      </c>
      <c r="T410" s="6" t="n">
        <v>5</v>
      </c>
      <c r="U410" s="7">
        <f>V410/14</f>
        <v/>
      </c>
      <c r="V410" s="6" t="n">
        <v>2</v>
      </c>
      <c r="W410" s="6" t="n">
        <v>12</v>
      </c>
      <c r="X410" s="6" t="n">
        <v>0</v>
      </c>
      <c r="Y410" s="8" t="n">
        <v>64.55</v>
      </c>
      <c r="Z410" s="9" t="inlineStr">
        <is>
          <t>Success</t>
        </is>
      </c>
      <c r="AA410" s="2" t="inlineStr">
        <is>
          <t>2026-10-08 21:58:29</t>
        </is>
      </c>
    </row>
    <row r="411" ht="21.95" customHeight="1">
      <c r="A411" s="2" t="n">
        <v>410</v>
      </c>
      <c r="B411" s="31" t="inlineStr">
        <is>
          <t>http://www.thaicons.com</t>
        </is>
      </c>
      <c r="C411" s="2" t="inlineStr">
        <is>
          <t>อสังหาริมทรัพย์-ก่อสร้าง</t>
        </is>
      </c>
      <c r="D411" s="10">
        <f>F411/71</f>
        <v/>
      </c>
      <c r="E411" s="11">
        <f>IF(D411&gt;=0.9,"ดีเยี่ยม",IF(D411&gt;=0.7,"ดี",IF(D411&gt;=0.5,"พอใช้","ต้องปรับปรุง")))</f>
        <v/>
      </c>
      <c r="F411" s="6">
        <f>J411+N411+R411+V411</f>
        <v/>
      </c>
      <c r="G411" s="6">
        <f>K411+O411+S411+W411</f>
        <v/>
      </c>
      <c r="H411" s="6">
        <f>L411+P411+T411+X411</f>
        <v/>
      </c>
      <c r="I411" s="7">
        <f>J411/37</f>
        <v/>
      </c>
      <c r="J411" s="6" t="n">
        <v>30</v>
      </c>
      <c r="K411" s="6" t="n">
        <v>7</v>
      </c>
      <c r="L411" s="6" t="n">
        <v>0</v>
      </c>
      <c r="M411" s="7">
        <f>N411/9</f>
        <v/>
      </c>
      <c r="N411" s="6" t="n">
        <v>7</v>
      </c>
      <c r="O411" s="6" t="n">
        <v>2</v>
      </c>
      <c r="P411" s="6" t="n">
        <v>0</v>
      </c>
      <c r="Q411" s="7">
        <f>R411/11</f>
        <v/>
      </c>
      <c r="R411" s="6" t="n">
        <v>4</v>
      </c>
      <c r="S411" s="6" t="n">
        <v>3</v>
      </c>
      <c r="T411" s="6" t="n">
        <v>4</v>
      </c>
      <c r="U411" s="7">
        <f>V411/14</f>
        <v/>
      </c>
      <c r="V411" s="6" t="n">
        <v>2</v>
      </c>
      <c r="W411" s="6" t="n">
        <v>12</v>
      </c>
      <c r="X411" s="6" t="n">
        <v>0</v>
      </c>
      <c r="Y411" s="8" t="n">
        <v>18.76</v>
      </c>
      <c r="Z411" s="9" t="inlineStr">
        <is>
          <t>Success</t>
        </is>
      </c>
      <c r="AA411" s="2" t="inlineStr">
        <is>
          <t>2026-10-09 12:33:48</t>
        </is>
      </c>
    </row>
    <row r="412" ht="21.95" customHeight="1">
      <c r="A412" s="2" t="n">
        <v>411</v>
      </c>
      <c r="B412" s="31" t="inlineStr">
        <is>
          <t>http://www.tisi.go.th</t>
        </is>
      </c>
      <c r="C412" s="2" t="inlineStr">
        <is>
          <t>หน่วยงานราชการ,องค์กร</t>
        </is>
      </c>
      <c r="D412" s="10">
        <f>F412/71</f>
        <v/>
      </c>
      <c r="E412" s="11">
        <f>IF(D412&gt;=0.9,"ดีเยี่ยม",IF(D412&gt;=0.7,"ดี",IF(D412&gt;=0.5,"พอใช้","ต้องปรับปรุง")))</f>
        <v/>
      </c>
      <c r="F412" s="6">
        <f>J412+N412+R412+V412</f>
        <v/>
      </c>
      <c r="G412" s="6">
        <f>K412+O412+S412+W412</f>
        <v/>
      </c>
      <c r="H412" s="6">
        <f>L412+P412+T412+X412</f>
        <v/>
      </c>
      <c r="I412" s="7">
        <f>J412/37</f>
        <v/>
      </c>
      <c r="J412" s="6" t="n">
        <v>34</v>
      </c>
      <c r="K412" s="6" t="n">
        <v>3</v>
      </c>
      <c r="L412" s="6" t="n">
        <v>0</v>
      </c>
      <c r="M412" s="7">
        <f>N412/9</f>
        <v/>
      </c>
      <c r="N412" s="6" t="n">
        <v>9</v>
      </c>
      <c r="O412" s="6" t="n">
        <v>0</v>
      </c>
      <c r="P412" s="6" t="n">
        <v>0</v>
      </c>
      <c r="Q412" s="7">
        <f>R412/11</f>
        <v/>
      </c>
      <c r="R412" s="6" t="n">
        <v>4</v>
      </c>
      <c r="S412" s="6" t="n">
        <v>4</v>
      </c>
      <c r="T412" s="6" t="n">
        <v>3</v>
      </c>
      <c r="U412" s="7">
        <f>V412/14</f>
        <v/>
      </c>
      <c r="V412" s="6" t="n">
        <v>1</v>
      </c>
      <c r="W412" s="6" t="n">
        <v>13</v>
      </c>
      <c r="X412" s="6" t="n">
        <v>0</v>
      </c>
      <c r="Y412" s="8" t="n">
        <v>55.09</v>
      </c>
      <c r="Z412" s="9" t="inlineStr">
        <is>
          <t>Success</t>
        </is>
      </c>
      <c r="AA412" s="2" t="inlineStr">
        <is>
          <t>2026-10-08 22:00:34</t>
        </is>
      </c>
    </row>
    <row r="413" ht="21.95" customHeight="1">
      <c r="A413" s="2" t="n">
        <v>412</v>
      </c>
      <c r="B413" s="31" t="inlineStr">
        <is>
          <t>http://www.madoo.com</t>
        </is>
      </c>
      <c r="C413" s="2" t="inlineStr">
        <is>
          <t>บันเทิง</t>
        </is>
      </c>
      <c r="D413" s="10">
        <f>F413/71</f>
        <v/>
      </c>
      <c r="E413" s="11">
        <f>IF(D413&gt;=0.9,"ดีเยี่ยม",IF(D413&gt;=0.7,"ดี",IF(D413&gt;=0.5,"พอใช้","ต้องปรับปรุง")))</f>
        <v/>
      </c>
      <c r="F413" s="6">
        <f>J413+N413+R413+V413</f>
        <v/>
      </c>
      <c r="G413" s="6">
        <f>K413+O413+S413+W413</f>
        <v/>
      </c>
      <c r="H413" s="6">
        <f>L413+P413+T413+X413</f>
        <v/>
      </c>
      <c r="I413" s="7">
        <f>J413/37</f>
        <v/>
      </c>
      <c r="J413" s="6" t="n">
        <v>34</v>
      </c>
      <c r="K413" s="6" t="n">
        <v>2</v>
      </c>
      <c r="L413" s="6" t="n">
        <v>1</v>
      </c>
      <c r="M413" s="7">
        <f>N413/9</f>
        <v/>
      </c>
      <c r="N413" s="6" t="n">
        <v>7</v>
      </c>
      <c r="O413" s="6" t="n">
        <v>1</v>
      </c>
      <c r="P413" s="6" t="n">
        <v>1</v>
      </c>
      <c r="Q413" s="7">
        <f>R413/11</f>
        <v/>
      </c>
      <c r="R413" s="6" t="n">
        <v>3</v>
      </c>
      <c r="S413" s="6" t="n">
        <v>3</v>
      </c>
      <c r="T413" s="6" t="n">
        <v>5</v>
      </c>
      <c r="U413" s="7">
        <f>V413/14</f>
        <v/>
      </c>
      <c r="V413" s="6" t="n">
        <v>2</v>
      </c>
      <c r="W413" s="6" t="n">
        <v>12</v>
      </c>
      <c r="X413" s="6" t="n">
        <v>0</v>
      </c>
      <c r="Y413" s="8" t="n">
        <v>37.15</v>
      </c>
      <c r="Z413" s="9" t="inlineStr">
        <is>
          <t>Success</t>
        </is>
      </c>
      <c r="AA413" s="2" t="inlineStr">
        <is>
          <t>2026-10-08 22:01:11</t>
        </is>
      </c>
    </row>
    <row r="414" ht="21.95" customHeight="1">
      <c r="A414" s="2" t="n">
        <v>413</v>
      </c>
      <c r="B414" s="31" t="inlineStr">
        <is>
          <t>http://www.bangkaew.com</t>
        </is>
      </c>
      <c r="C414" s="2" t="inlineStr">
        <is>
          <t>บุคคล-สังคม</t>
        </is>
      </c>
      <c r="D414" s="10">
        <f>F414/71</f>
        <v/>
      </c>
      <c r="E414" s="11">
        <f>IF(D414&gt;=0.9,"ดีเยี่ยม",IF(D414&gt;=0.7,"ดี",IF(D414&gt;=0.5,"พอใช้","ต้องปรับปรุง")))</f>
        <v/>
      </c>
      <c r="F414" s="6">
        <f>J414+N414+R414+V414</f>
        <v/>
      </c>
      <c r="G414" s="6">
        <f>K414+O414+S414+W414</f>
        <v/>
      </c>
      <c r="H414" s="6">
        <f>L414+P414+T414+X414</f>
        <v/>
      </c>
      <c r="I414" s="7">
        <f>J414/37</f>
        <v/>
      </c>
      <c r="J414" s="6" t="n">
        <v>34</v>
      </c>
      <c r="K414" s="6" t="n">
        <v>2</v>
      </c>
      <c r="L414" s="6" t="n">
        <v>1</v>
      </c>
      <c r="M414" s="7">
        <f>N414/9</f>
        <v/>
      </c>
      <c r="N414" s="6" t="n">
        <v>6</v>
      </c>
      <c r="O414" s="6" t="n">
        <v>2</v>
      </c>
      <c r="P414" s="6" t="n">
        <v>1</v>
      </c>
      <c r="Q414" s="7">
        <f>R414/11</f>
        <v/>
      </c>
      <c r="R414" s="6" t="n">
        <v>5</v>
      </c>
      <c r="S414" s="6" t="n">
        <v>3</v>
      </c>
      <c r="T414" s="6" t="n">
        <v>3</v>
      </c>
      <c r="U414" s="7">
        <f>V414/14</f>
        <v/>
      </c>
      <c r="V414" s="6" t="n">
        <v>2</v>
      </c>
      <c r="W414" s="6" t="n">
        <v>12</v>
      </c>
      <c r="X414" s="6" t="n">
        <v>0</v>
      </c>
      <c r="Y414" s="8" t="n">
        <v>99.40000000000001</v>
      </c>
      <c r="Z414" s="9" t="inlineStr">
        <is>
          <t>Success</t>
        </is>
      </c>
      <c r="AA414" s="2" t="inlineStr">
        <is>
          <t>2026-10-08 22:02:51</t>
        </is>
      </c>
    </row>
    <row r="415" ht="21.95" customHeight="1">
      <c r="A415" s="2" t="n">
        <v>414</v>
      </c>
      <c r="B415" s="31" t="inlineStr">
        <is>
          <t>http://teenee.com</t>
        </is>
      </c>
      <c r="C415" s="2" t="inlineStr">
        <is>
          <t>บันเทิง</t>
        </is>
      </c>
      <c r="D415" s="10">
        <f>F415/71</f>
        <v/>
      </c>
      <c r="E415" s="11">
        <f>IF(D415&gt;=0.9,"ดีเยี่ยม",IF(D415&gt;=0.7,"ดี",IF(D415&gt;=0.5,"พอใช้","ต้องปรับปรุง")))</f>
        <v/>
      </c>
      <c r="F415" s="6">
        <f>J415+N415+R415+V415</f>
        <v/>
      </c>
      <c r="G415" s="6">
        <f>K415+O415+S415+W415</f>
        <v/>
      </c>
      <c r="H415" s="6">
        <f>L415+P415+T415+X415</f>
        <v/>
      </c>
      <c r="I415" s="7">
        <f>J415/37</f>
        <v/>
      </c>
      <c r="J415" s="6" t="n">
        <v>31</v>
      </c>
      <c r="K415" s="6" t="n">
        <v>6</v>
      </c>
      <c r="L415" s="6" t="n">
        <v>0</v>
      </c>
      <c r="M415" s="7">
        <f>N415/9</f>
        <v/>
      </c>
      <c r="N415" s="6" t="n">
        <v>9</v>
      </c>
      <c r="O415" s="6" t="n">
        <v>0</v>
      </c>
      <c r="P415" s="6" t="n">
        <v>0</v>
      </c>
      <c r="Q415" s="7">
        <f>R415/11</f>
        <v/>
      </c>
      <c r="R415" s="6" t="n">
        <v>3</v>
      </c>
      <c r="S415" s="6" t="n">
        <v>3</v>
      </c>
      <c r="T415" s="6" t="n">
        <v>5</v>
      </c>
      <c r="U415" s="7">
        <f>V415/14</f>
        <v/>
      </c>
      <c r="V415" s="6" t="n">
        <v>2</v>
      </c>
      <c r="W415" s="6" t="n">
        <v>12</v>
      </c>
      <c r="X415" s="6" t="n">
        <v>0</v>
      </c>
      <c r="Y415" s="8" t="n">
        <v>37.66</v>
      </c>
      <c r="Z415" s="9" t="inlineStr">
        <is>
          <t>Success</t>
        </is>
      </c>
      <c r="AA415" s="2" t="inlineStr">
        <is>
          <t>2026-10-08 22:03:28</t>
        </is>
      </c>
    </row>
    <row r="416" ht="21.95" customHeight="1">
      <c r="A416" s="2" t="n">
        <v>415</v>
      </c>
      <c r="B416" s="31" t="inlineStr">
        <is>
          <t>http://www.siamzone.com</t>
        </is>
      </c>
      <c r="C416" s="2" t="inlineStr">
        <is>
          <t>บันเทิง</t>
        </is>
      </c>
      <c r="D416" s="10">
        <f>F416/71</f>
        <v/>
      </c>
      <c r="E416" s="11">
        <f>IF(D416&gt;=0.9,"ดีเยี่ยม",IF(D416&gt;=0.7,"ดี",IF(D416&gt;=0.5,"พอใช้","ต้องปรับปรุง")))</f>
        <v/>
      </c>
      <c r="F416" s="6">
        <f>J416+N416+R416+V416</f>
        <v/>
      </c>
      <c r="G416" s="6">
        <f>K416+O416+S416+W416</f>
        <v/>
      </c>
      <c r="H416" s="6">
        <f>L416+P416+T416+X416</f>
        <v/>
      </c>
      <c r="I416" s="7">
        <f>J416/37</f>
        <v/>
      </c>
      <c r="J416" s="6" t="n">
        <v>33</v>
      </c>
      <c r="K416" s="6" t="n">
        <v>4</v>
      </c>
      <c r="L416" s="6" t="n">
        <v>0</v>
      </c>
      <c r="M416" s="7">
        <f>N416/9</f>
        <v/>
      </c>
      <c r="N416" s="6" t="n">
        <v>8</v>
      </c>
      <c r="O416" s="6" t="n">
        <v>1</v>
      </c>
      <c r="P416" s="6" t="n">
        <v>0</v>
      </c>
      <c r="Q416" s="7">
        <f>R416/11</f>
        <v/>
      </c>
      <c r="R416" s="6" t="n">
        <v>2</v>
      </c>
      <c r="S416" s="6" t="n">
        <v>4</v>
      </c>
      <c r="T416" s="6" t="n">
        <v>5</v>
      </c>
      <c r="U416" s="7">
        <f>V416/14</f>
        <v/>
      </c>
      <c r="V416" s="6" t="n">
        <v>2</v>
      </c>
      <c r="W416" s="6" t="n">
        <v>12</v>
      </c>
      <c r="X416" s="6" t="n">
        <v>0</v>
      </c>
      <c r="Y416" s="8" t="n">
        <v>41.18</v>
      </c>
      <c r="Z416" s="9" t="inlineStr">
        <is>
          <t>Success</t>
        </is>
      </c>
      <c r="AA416" s="2" t="inlineStr">
        <is>
          <t>2026-10-08 22:04:10</t>
        </is>
      </c>
    </row>
    <row r="417" ht="21.95" customHeight="1">
      <c r="A417" s="2" t="n">
        <v>416</v>
      </c>
      <c r="B417" s="31" t="inlineStr">
        <is>
          <t>http://www.trf.or.th</t>
        </is>
      </c>
      <c r="C417" s="2" t="inlineStr">
        <is>
          <t>หน่วยงานราชการ,องค์กร</t>
        </is>
      </c>
      <c r="D417" s="25">
        <f>F417/71</f>
        <v/>
      </c>
      <c r="E417" s="26">
        <f>IF(D417&gt;=0.9,"ดีเยี่ยม",IF(D417&gt;=0.7,"ดี",IF(D417&gt;=0.5,"พอใช้","ต้องปรับปรุง")))</f>
        <v/>
      </c>
      <c r="F417" s="6">
        <f>J417+N417+R417+V417</f>
        <v/>
      </c>
      <c r="G417" s="6">
        <f>K417+O417+S417+W417</f>
        <v/>
      </c>
      <c r="H417" s="6">
        <f>L417+P417+T417+X417</f>
        <v/>
      </c>
      <c r="I417" s="7">
        <f>J417/37</f>
        <v/>
      </c>
      <c r="J417" s="6" t="n">
        <v>0</v>
      </c>
      <c r="K417" s="6" t="n">
        <v>37</v>
      </c>
      <c r="L417" s="6" t="n">
        <v>0</v>
      </c>
      <c r="M417" s="7">
        <f>N417/9</f>
        <v/>
      </c>
      <c r="N417" s="6" t="n">
        <v>0</v>
      </c>
      <c r="O417" s="6" t="n">
        <v>9</v>
      </c>
      <c r="P417" s="6" t="n">
        <v>0</v>
      </c>
      <c r="Q417" s="7">
        <f>R417/11</f>
        <v/>
      </c>
      <c r="R417" s="6" t="n">
        <v>0</v>
      </c>
      <c r="S417" s="6" t="n">
        <v>11</v>
      </c>
      <c r="T417" s="6" t="n">
        <v>0</v>
      </c>
      <c r="U417" s="7">
        <f>V417/14</f>
        <v/>
      </c>
      <c r="V417" s="6" t="n">
        <v>0</v>
      </c>
      <c r="W417" s="6" t="n">
        <v>14</v>
      </c>
      <c r="X417" s="6" t="n">
        <v>0</v>
      </c>
      <c r="Y417" s="8" t="n">
        <v>0.06</v>
      </c>
      <c r="Z417" s="27" t="inlineStr">
        <is>
          <t>Failed (โดนบล็อก / เข้าถึงไม่ได้ (HTTP 403))</t>
        </is>
      </c>
      <c r="AA417" s="2" t="inlineStr">
        <is>
          <t>2026-10-21 00:13:37</t>
        </is>
      </c>
    </row>
    <row r="418" ht="21.95" customHeight="1">
      <c r="A418" s="2" t="n">
        <v>417</v>
      </c>
      <c r="B418" s="31" t="inlineStr">
        <is>
          <t>http://www.baanrak.com</t>
        </is>
      </c>
      <c r="C418" s="2" t="inlineStr">
        <is>
          <t>บุคคล-สังคม</t>
        </is>
      </c>
      <c r="D418" s="10">
        <f>F418/71</f>
        <v/>
      </c>
      <c r="E418" s="11">
        <f>IF(D418&gt;=0.9,"ดีเยี่ยม",IF(D418&gt;=0.7,"ดี",IF(D418&gt;=0.5,"พอใช้","ต้องปรับปรุง")))</f>
        <v/>
      </c>
      <c r="F418" s="6">
        <f>J418+N418+R418+V418</f>
        <v/>
      </c>
      <c r="G418" s="6">
        <f>K418+O418+S418+W418</f>
        <v/>
      </c>
      <c r="H418" s="6">
        <f>L418+P418+T418+X418</f>
        <v/>
      </c>
      <c r="I418" s="7">
        <f>J418/37</f>
        <v/>
      </c>
      <c r="J418" s="6" t="n">
        <v>34</v>
      </c>
      <c r="K418" s="6" t="n">
        <v>2</v>
      </c>
      <c r="L418" s="6" t="n">
        <v>1</v>
      </c>
      <c r="M418" s="7">
        <f>N418/9</f>
        <v/>
      </c>
      <c r="N418" s="6" t="n">
        <v>8</v>
      </c>
      <c r="O418" s="6" t="n">
        <v>0</v>
      </c>
      <c r="P418" s="6" t="n">
        <v>1</v>
      </c>
      <c r="Q418" s="7">
        <f>R418/11</f>
        <v/>
      </c>
      <c r="R418" s="6" t="n">
        <v>3</v>
      </c>
      <c r="S418" s="6" t="n">
        <v>3</v>
      </c>
      <c r="T418" s="6" t="n">
        <v>5</v>
      </c>
      <c r="U418" s="7">
        <f>V418/14</f>
        <v/>
      </c>
      <c r="V418" s="6" t="n">
        <v>3</v>
      </c>
      <c r="W418" s="6" t="n">
        <v>11</v>
      </c>
      <c r="X418" s="6" t="n">
        <v>0</v>
      </c>
      <c r="Y418" s="8" t="n">
        <v>53.91</v>
      </c>
      <c r="Z418" s="9" t="inlineStr">
        <is>
          <t>Success</t>
        </is>
      </c>
      <c r="AA418" s="2" t="inlineStr">
        <is>
          <t>2026-10-08 22:05:56</t>
        </is>
      </c>
    </row>
    <row r="419" ht="21.95" customHeight="1">
      <c r="A419" s="2" t="n">
        <v>418</v>
      </c>
      <c r="B419" s="31" t="inlineStr">
        <is>
          <t>http://www.mercigod.com</t>
        </is>
      </c>
      <c r="C419" s="2" t="inlineStr">
        <is>
          <t>บันเทิง</t>
        </is>
      </c>
      <c r="D419" s="10">
        <f>F419/71</f>
        <v/>
      </c>
      <c r="E419" s="11">
        <f>IF(D419&gt;=0.9,"ดีเยี่ยม",IF(D419&gt;=0.7,"ดี",IF(D419&gt;=0.5,"พอใช้","ต้องปรับปรุง")))</f>
        <v/>
      </c>
      <c r="F419" s="6">
        <f>J419+N419+R419+V419</f>
        <v/>
      </c>
      <c r="G419" s="6">
        <f>K419+O419+S419+W419</f>
        <v/>
      </c>
      <c r="H419" s="6">
        <f>L419+P419+T419+X419</f>
        <v/>
      </c>
      <c r="I419" s="7">
        <f>J419/37</f>
        <v/>
      </c>
      <c r="J419" s="6" t="n">
        <v>34</v>
      </c>
      <c r="K419" s="6" t="n">
        <v>2</v>
      </c>
      <c r="L419" s="6" t="n">
        <v>1</v>
      </c>
      <c r="M419" s="7">
        <f>N419/9</f>
        <v/>
      </c>
      <c r="N419" s="6" t="n">
        <v>7</v>
      </c>
      <c r="O419" s="6" t="n">
        <v>1</v>
      </c>
      <c r="P419" s="6" t="n">
        <v>1</v>
      </c>
      <c r="Q419" s="7">
        <f>R419/11</f>
        <v/>
      </c>
      <c r="R419" s="6" t="n">
        <v>4</v>
      </c>
      <c r="S419" s="6" t="n">
        <v>2</v>
      </c>
      <c r="T419" s="6" t="n">
        <v>5</v>
      </c>
      <c r="U419" s="7">
        <f>V419/14</f>
        <v/>
      </c>
      <c r="V419" s="6" t="n">
        <v>3</v>
      </c>
      <c r="W419" s="6" t="n">
        <v>11</v>
      </c>
      <c r="X419" s="6" t="n">
        <v>0</v>
      </c>
      <c r="Y419" s="8" t="n">
        <v>37.13</v>
      </c>
      <c r="Z419" s="9" t="inlineStr">
        <is>
          <t>Success</t>
        </is>
      </c>
      <c r="AA419" s="2" t="inlineStr">
        <is>
          <t>2026-10-08 22:06:33</t>
        </is>
      </c>
    </row>
    <row r="420" ht="21.95" customHeight="1">
      <c r="A420" s="2" t="n">
        <v>419</v>
      </c>
      <c r="B420" s="31" t="inlineStr">
        <is>
          <t>http://www.stophazard.com</t>
        </is>
      </c>
      <c r="C420" s="2" t="inlineStr">
        <is>
          <t>ธุรกิจ</t>
        </is>
      </c>
      <c r="D420" s="4">
        <f>F420/71</f>
        <v/>
      </c>
      <c r="E420" s="5">
        <f>IF(D420&gt;=0.9,"ดีเยี่ยม",IF(D420&gt;=0.7,"ดี",IF(D420&gt;=0.5,"พอใช้","ต้องปรับปรุง")))</f>
        <v/>
      </c>
      <c r="F420" s="6">
        <f>J420+N420+R420+V420</f>
        <v/>
      </c>
      <c r="G420" s="6">
        <f>K420+O420+S420+W420</f>
        <v/>
      </c>
      <c r="H420" s="6">
        <f>L420+P420+T420+X420</f>
        <v/>
      </c>
      <c r="I420" s="7">
        <f>J420/37</f>
        <v/>
      </c>
      <c r="J420" s="6" t="n">
        <v>34</v>
      </c>
      <c r="K420" s="6" t="n">
        <v>3</v>
      </c>
      <c r="L420" s="6" t="n">
        <v>0</v>
      </c>
      <c r="M420" s="7">
        <f>N420/9</f>
        <v/>
      </c>
      <c r="N420" s="6" t="n">
        <v>7</v>
      </c>
      <c r="O420" s="6" t="n">
        <v>1</v>
      </c>
      <c r="P420" s="6" t="n">
        <v>1</v>
      </c>
      <c r="Q420" s="7">
        <f>R420/11</f>
        <v/>
      </c>
      <c r="R420" s="6" t="n">
        <v>6</v>
      </c>
      <c r="S420" s="6" t="n">
        <v>2</v>
      </c>
      <c r="T420" s="6" t="n">
        <v>3</v>
      </c>
      <c r="U420" s="7">
        <f>V420/14</f>
        <v/>
      </c>
      <c r="V420" s="6" t="n">
        <v>3</v>
      </c>
      <c r="W420" s="6" t="n">
        <v>11</v>
      </c>
      <c r="X420" s="6" t="n">
        <v>0</v>
      </c>
      <c r="Y420" s="8" t="n">
        <v>39.53</v>
      </c>
      <c r="Z420" s="9" t="inlineStr">
        <is>
          <t>Success</t>
        </is>
      </c>
      <c r="AA420" s="2" t="inlineStr">
        <is>
          <t>2026-10-08 22:07:12</t>
        </is>
      </c>
    </row>
    <row r="421" ht="21.95" customHeight="1">
      <c r="A421" s="2" t="n">
        <v>420</v>
      </c>
      <c r="B421" s="31" t="inlineStr">
        <is>
          <t>http://www.webbasesolution.com</t>
        </is>
      </c>
      <c r="C421" s="2" t="inlineStr">
        <is>
          <t>อินเทอร์เน็ต</t>
        </is>
      </c>
      <c r="D421" s="10">
        <f>F421/71</f>
        <v/>
      </c>
      <c r="E421" s="11">
        <f>IF(D421&gt;=0.9,"ดีเยี่ยม",IF(D421&gt;=0.7,"ดี",IF(D421&gt;=0.5,"พอใช้","ต้องปรับปรุง")))</f>
        <v/>
      </c>
      <c r="F421" s="6">
        <f>J421+N421+R421+V421</f>
        <v/>
      </c>
      <c r="G421" s="6">
        <f>K421+O421+S421+W421</f>
        <v/>
      </c>
      <c r="H421" s="6">
        <f>L421+P421+T421+X421</f>
        <v/>
      </c>
      <c r="I421" s="7">
        <f>J421/37</f>
        <v/>
      </c>
      <c r="J421" s="6" t="n">
        <v>32</v>
      </c>
      <c r="K421" s="6" t="n">
        <v>3</v>
      </c>
      <c r="L421" s="6" t="n">
        <v>2</v>
      </c>
      <c r="M421" s="7">
        <f>N421/9</f>
        <v/>
      </c>
      <c r="N421" s="6" t="n">
        <v>7</v>
      </c>
      <c r="O421" s="6" t="n">
        <v>2</v>
      </c>
      <c r="P421" s="6" t="n">
        <v>0</v>
      </c>
      <c r="Q421" s="7">
        <f>R421/11</f>
        <v/>
      </c>
      <c r="R421" s="6" t="n">
        <v>0</v>
      </c>
      <c r="S421" s="6" t="n">
        <v>4</v>
      </c>
      <c r="T421" s="6" t="n">
        <v>7</v>
      </c>
      <c r="U421" s="7">
        <f>V421/14</f>
        <v/>
      </c>
      <c r="V421" s="6" t="n">
        <v>1</v>
      </c>
      <c r="W421" s="6" t="n">
        <v>13</v>
      </c>
      <c r="X421" s="6" t="n">
        <v>0</v>
      </c>
      <c r="Y421" s="8" t="n">
        <v>48.48</v>
      </c>
      <c r="Z421" s="9" t="inlineStr">
        <is>
          <t>Success</t>
        </is>
      </c>
      <c r="AA421" s="2" t="inlineStr">
        <is>
          <t>2026-10-08 22:08:01</t>
        </is>
      </c>
    </row>
    <row r="422" ht="21.95" customHeight="1">
      <c r="A422" s="2" t="n">
        <v>421</v>
      </c>
      <c r="B422" s="31" t="inlineStr">
        <is>
          <t>http://www.SisaketToday.com</t>
        </is>
      </c>
      <c r="C422" s="2" t="inlineStr">
        <is>
          <t>หน่วยงานราชการ,องค์กร</t>
        </is>
      </c>
      <c r="D422" s="10">
        <f>F422/71</f>
        <v/>
      </c>
      <c r="E422" s="11">
        <f>IF(D422&gt;=0.9,"ดีเยี่ยม",IF(D422&gt;=0.7,"ดี",IF(D422&gt;=0.5,"พอใช้","ต้องปรับปรุง")))</f>
        <v/>
      </c>
      <c r="F422" s="6">
        <f>J422+N422+R422+V422</f>
        <v/>
      </c>
      <c r="G422" s="6">
        <f>K422+O422+S422+W422</f>
        <v/>
      </c>
      <c r="H422" s="6">
        <f>L422+P422+T422+X422</f>
        <v/>
      </c>
      <c r="I422" s="7">
        <f>J422/37</f>
        <v/>
      </c>
      <c r="J422" s="6" t="n">
        <v>32</v>
      </c>
      <c r="K422" s="6" t="n">
        <v>5</v>
      </c>
      <c r="L422" s="6" t="n">
        <v>0</v>
      </c>
      <c r="M422" s="7">
        <f>N422/9</f>
        <v/>
      </c>
      <c r="N422" s="6" t="n">
        <v>6</v>
      </c>
      <c r="O422" s="6" t="n">
        <v>1</v>
      </c>
      <c r="P422" s="6" t="n">
        <v>2</v>
      </c>
      <c r="Q422" s="7">
        <f>R422/11</f>
        <v/>
      </c>
      <c r="R422" s="6" t="n">
        <v>3</v>
      </c>
      <c r="S422" s="6" t="n">
        <v>3</v>
      </c>
      <c r="T422" s="6" t="n">
        <v>5</v>
      </c>
      <c r="U422" s="7">
        <f>V422/14</f>
        <v/>
      </c>
      <c r="V422" s="6" t="n">
        <v>2</v>
      </c>
      <c r="W422" s="6" t="n">
        <v>10</v>
      </c>
      <c r="X422" s="6" t="n">
        <v>2</v>
      </c>
      <c r="Y422" s="8" t="n">
        <v>36.81</v>
      </c>
      <c r="Z422" s="9" t="inlineStr">
        <is>
          <t>Success</t>
        </is>
      </c>
      <c r="AA422" s="2" t="inlineStr">
        <is>
          <t>2026-10-08 22:08:38</t>
        </is>
      </c>
    </row>
    <row r="423" ht="21.95" customHeight="1">
      <c r="A423" s="2" t="n">
        <v>422</v>
      </c>
      <c r="B423" s="31" t="inlineStr">
        <is>
          <t>http://www.dzygroup.com</t>
        </is>
      </c>
      <c r="C423" s="2" t="inlineStr">
        <is>
          <t>อินเทอร์เน็ต</t>
        </is>
      </c>
      <c r="D423" s="10">
        <f>F423/71</f>
        <v/>
      </c>
      <c r="E423" s="11">
        <f>IF(D423&gt;=0.9,"ดีเยี่ยม",IF(D423&gt;=0.7,"ดี",IF(D423&gt;=0.5,"พอใช้","ต้องปรับปรุง")))</f>
        <v/>
      </c>
      <c r="F423" s="6">
        <f>J423+N423+R423+V423</f>
        <v/>
      </c>
      <c r="G423" s="6">
        <f>K423+O423+S423+W423</f>
        <v/>
      </c>
      <c r="H423" s="6">
        <f>L423+P423+T423+X423</f>
        <v/>
      </c>
      <c r="I423" s="7">
        <f>J423/37</f>
        <v/>
      </c>
      <c r="J423" s="6" t="n">
        <v>33</v>
      </c>
      <c r="K423" s="6" t="n">
        <v>3</v>
      </c>
      <c r="L423" s="6" t="n">
        <v>1</v>
      </c>
      <c r="M423" s="7">
        <f>N423/9</f>
        <v/>
      </c>
      <c r="N423" s="6" t="n">
        <v>6</v>
      </c>
      <c r="O423" s="6" t="n">
        <v>3</v>
      </c>
      <c r="P423" s="6" t="n">
        <v>0</v>
      </c>
      <c r="Q423" s="7">
        <f>R423/11</f>
        <v/>
      </c>
      <c r="R423" s="6" t="n">
        <v>2</v>
      </c>
      <c r="S423" s="6" t="n">
        <v>4</v>
      </c>
      <c r="T423" s="6" t="n">
        <v>5</v>
      </c>
      <c r="U423" s="7">
        <f>V423/14</f>
        <v/>
      </c>
      <c r="V423" s="6" t="n">
        <v>2</v>
      </c>
      <c r="W423" s="6" t="n">
        <v>12</v>
      </c>
      <c r="X423" s="6" t="n">
        <v>0</v>
      </c>
      <c r="Y423" s="8" t="n">
        <v>53.04</v>
      </c>
      <c r="Z423" s="9" t="inlineStr">
        <is>
          <t>Success</t>
        </is>
      </c>
      <c r="AA423" s="2" t="inlineStr">
        <is>
          <t>2026-10-08 22:09:31</t>
        </is>
      </c>
    </row>
    <row r="424" ht="21.95" customHeight="1">
      <c r="A424" s="2" t="n">
        <v>423</v>
      </c>
      <c r="B424" s="31" t="inlineStr">
        <is>
          <t>http://www.samcoautoparts.com</t>
        </is>
      </c>
      <c r="C424" s="2" t="inlineStr">
        <is>
          <t>ธุรกิจ</t>
        </is>
      </c>
      <c r="D424" s="10">
        <f>F424/71</f>
        <v/>
      </c>
      <c r="E424" s="11">
        <f>IF(D424&gt;=0.9,"ดีเยี่ยม",IF(D424&gt;=0.7,"ดี",IF(D424&gt;=0.5,"พอใช้","ต้องปรับปรุง")))</f>
        <v/>
      </c>
      <c r="F424" s="6">
        <f>J424+N424+R424+V424</f>
        <v/>
      </c>
      <c r="G424" s="6">
        <f>K424+O424+S424+W424</f>
        <v/>
      </c>
      <c r="H424" s="6">
        <f>L424+P424+T424+X424</f>
        <v/>
      </c>
      <c r="I424" s="7">
        <f>J424/37</f>
        <v/>
      </c>
      <c r="J424" s="6" t="n">
        <v>36</v>
      </c>
      <c r="K424" s="6" t="n">
        <v>1</v>
      </c>
      <c r="L424" s="6" t="n">
        <v>0</v>
      </c>
      <c r="M424" s="7">
        <f>N424/9</f>
        <v/>
      </c>
      <c r="N424" s="6" t="n">
        <v>5</v>
      </c>
      <c r="O424" s="6" t="n">
        <v>3</v>
      </c>
      <c r="P424" s="6" t="n">
        <v>1</v>
      </c>
      <c r="Q424" s="7">
        <f>R424/11</f>
        <v/>
      </c>
      <c r="R424" s="6" t="n">
        <v>3</v>
      </c>
      <c r="S424" s="6" t="n">
        <v>3</v>
      </c>
      <c r="T424" s="6" t="n">
        <v>5</v>
      </c>
      <c r="U424" s="7">
        <f>V424/14</f>
        <v/>
      </c>
      <c r="V424" s="6" t="n">
        <v>2</v>
      </c>
      <c r="W424" s="6" t="n">
        <v>12</v>
      </c>
      <c r="X424" s="6" t="n">
        <v>0</v>
      </c>
      <c r="Y424" s="8" t="n">
        <v>64.93000000000001</v>
      </c>
      <c r="Z424" s="9" t="inlineStr">
        <is>
          <t>Success</t>
        </is>
      </c>
      <c r="AA424" s="2" t="inlineStr">
        <is>
          <t>2026-10-08 22:10:36</t>
        </is>
      </c>
    </row>
    <row r="425" ht="21.95" customHeight="1">
      <c r="A425" s="2" t="n">
        <v>424</v>
      </c>
      <c r="B425" s="31" t="inlineStr">
        <is>
          <t>http://thaispecial.com</t>
        </is>
      </c>
      <c r="C425" s="2" t="inlineStr">
        <is>
          <t>ช๊อปปิ้ง</t>
        </is>
      </c>
      <c r="D425" s="25">
        <f>F425/71</f>
        <v/>
      </c>
      <c r="E425" s="26">
        <f>IF(D425&gt;=0.9,"ดีเยี่ยม",IF(D425&gt;=0.7,"ดี",IF(D425&gt;=0.5,"พอใช้","ต้องปรับปรุง")))</f>
        <v/>
      </c>
      <c r="F425" s="6">
        <f>J425+N425+R425+V425</f>
        <v/>
      </c>
      <c r="G425" s="6">
        <f>K425+O425+S425+W425</f>
        <v/>
      </c>
      <c r="H425" s="6">
        <f>L425+P425+T425+X425</f>
        <v/>
      </c>
      <c r="I425" s="7">
        <f>J425/37</f>
        <v/>
      </c>
      <c r="J425" s="6" t="n">
        <v>0</v>
      </c>
      <c r="K425" s="6" t="n">
        <v>37</v>
      </c>
      <c r="L425" s="6" t="n">
        <v>0</v>
      </c>
      <c r="M425" s="7">
        <f>N425/9</f>
        <v/>
      </c>
      <c r="N425" s="6" t="n">
        <v>0</v>
      </c>
      <c r="O425" s="6" t="n">
        <v>9</v>
      </c>
      <c r="P425" s="6" t="n">
        <v>0</v>
      </c>
      <c r="Q425" s="7">
        <f>R425/11</f>
        <v/>
      </c>
      <c r="R425" s="6" t="n">
        <v>0</v>
      </c>
      <c r="S425" s="6" t="n">
        <v>11</v>
      </c>
      <c r="T425" s="6" t="n">
        <v>0</v>
      </c>
      <c r="U425" s="7">
        <f>V425/14</f>
        <v/>
      </c>
      <c r="V425" s="6" t="n">
        <v>0</v>
      </c>
      <c r="W425" s="6" t="n">
        <v>14</v>
      </c>
      <c r="X425" s="6" t="n">
        <v>0</v>
      </c>
      <c r="Y425" s="8" t="n">
        <v>0.08</v>
      </c>
      <c r="Z425" s="27" t="inlineStr">
        <is>
          <t>Failed (หน้าพักโดเมน / โดเมนหมดอายุ)</t>
        </is>
      </c>
      <c r="AA425" s="2" t="inlineStr">
        <is>
          <t>2026-10-21 00:13:37</t>
        </is>
      </c>
    </row>
    <row r="426" ht="21.95" customHeight="1">
      <c r="A426" s="2" t="n">
        <v>425</v>
      </c>
      <c r="B426" s="31" t="inlineStr">
        <is>
          <t>http://www.watpo.com</t>
        </is>
      </c>
      <c r="C426" s="2" t="inlineStr">
        <is>
          <t>สุขภาพ</t>
        </is>
      </c>
      <c r="D426" s="25">
        <f>F426/71</f>
        <v/>
      </c>
      <c r="E426" s="26">
        <f>IF(D426&gt;=0.9,"ดีเยี่ยม",IF(D426&gt;=0.7,"ดี",IF(D426&gt;=0.5,"พอใช้","ต้องปรับปรุง")))</f>
        <v/>
      </c>
      <c r="F426" s="6">
        <f>J426+N426+R426+V426</f>
        <v/>
      </c>
      <c r="G426" s="6">
        <f>K426+O426+S426+W426</f>
        <v/>
      </c>
      <c r="H426" s="6">
        <f>L426+P426+T426+X426</f>
        <v/>
      </c>
      <c r="I426" s="7">
        <f>J426/37</f>
        <v/>
      </c>
      <c r="J426" s="6" t="n">
        <v>0</v>
      </c>
      <c r="K426" s="6" t="n">
        <v>37</v>
      </c>
      <c r="L426" s="6" t="n">
        <v>0</v>
      </c>
      <c r="M426" s="7">
        <f>N426/9</f>
        <v/>
      </c>
      <c r="N426" s="6" t="n">
        <v>0</v>
      </c>
      <c r="O426" s="6" t="n">
        <v>9</v>
      </c>
      <c r="P426" s="6" t="n">
        <v>0</v>
      </c>
      <c r="Q426" s="7">
        <f>R426/11</f>
        <v/>
      </c>
      <c r="R426" s="6" t="n">
        <v>0</v>
      </c>
      <c r="S426" s="6" t="n">
        <v>11</v>
      </c>
      <c r="T426" s="6" t="n">
        <v>0</v>
      </c>
      <c r="U426" s="7">
        <f>V426/14</f>
        <v/>
      </c>
      <c r="V426" s="6" t="n">
        <v>0</v>
      </c>
      <c r="W426" s="6" t="n">
        <v>14</v>
      </c>
      <c r="X426" s="6" t="n">
        <v>0</v>
      </c>
      <c r="Y426" s="8" t="n">
        <v>0.99</v>
      </c>
      <c r="Z426" s="27" t="inlineStr">
        <is>
          <t>Failed (โดนบล็อก / เข้าถึงไม่ได้ (HTTP 403))</t>
        </is>
      </c>
      <c r="AA426" s="2" t="inlineStr">
        <is>
          <t>2026-10-21 00:13:37</t>
        </is>
      </c>
    </row>
    <row r="427" ht="21.95" customHeight="1">
      <c r="A427" s="2" t="n">
        <v>426</v>
      </c>
      <c r="B427" s="31" t="inlineStr">
        <is>
          <t>http://www.condomthai.com</t>
        </is>
      </c>
      <c r="C427" s="2" t="inlineStr">
        <is>
          <t>ช๊อปปิ้ง</t>
        </is>
      </c>
      <c r="D427" s="25">
        <f>F427/71</f>
        <v/>
      </c>
      <c r="E427" s="26">
        <f>IF(D427&gt;=0.9,"ดีเยี่ยม",IF(D427&gt;=0.7,"ดี",IF(D427&gt;=0.5,"พอใช้","ต้องปรับปรุง")))</f>
        <v/>
      </c>
      <c r="F427" s="6">
        <f>J427+N427+R427+V427</f>
        <v/>
      </c>
      <c r="G427" s="6">
        <f>K427+O427+S427+W427</f>
        <v/>
      </c>
      <c r="H427" s="6">
        <f>L427+P427+T427+X427</f>
        <v/>
      </c>
      <c r="I427" s="7">
        <f>J427/37</f>
        <v/>
      </c>
      <c r="J427" s="6" t="n">
        <v>0</v>
      </c>
      <c r="K427" s="6" t="n">
        <v>37</v>
      </c>
      <c r="L427" s="6" t="n">
        <v>0</v>
      </c>
      <c r="M427" s="7">
        <f>N427/9</f>
        <v/>
      </c>
      <c r="N427" s="6" t="n">
        <v>0</v>
      </c>
      <c r="O427" s="6" t="n">
        <v>9</v>
      </c>
      <c r="P427" s="6" t="n">
        <v>0</v>
      </c>
      <c r="Q427" s="7">
        <f>R427/11</f>
        <v/>
      </c>
      <c r="R427" s="6" t="n">
        <v>0</v>
      </c>
      <c r="S427" s="6" t="n">
        <v>11</v>
      </c>
      <c r="T427" s="6" t="n">
        <v>0</v>
      </c>
      <c r="U427" s="7">
        <f>V427/14</f>
        <v/>
      </c>
      <c r="V427" s="6" t="n">
        <v>0</v>
      </c>
      <c r="W427" s="6" t="n">
        <v>14</v>
      </c>
      <c r="X427" s="6" t="n">
        <v>0</v>
      </c>
      <c r="Y427" s="8" t="n">
        <v>0.6899999999999999</v>
      </c>
      <c r="Z427" s="27" t="inlineStr">
        <is>
          <t>Failed (โดนบล็อก / เข้าถึงไม่ได้ (HTTP 403))</t>
        </is>
      </c>
      <c r="AA427" s="2" t="inlineStr">
        <is>
          <t>2026-10-21 00:13:37</t>
        </is>
      </c>
    </row>
    <row r="428" ht="21.95" customHeight="1">
      <c r="A428" s="2" t="n">
        <v>427</v>
      </c>
      <c r="B428" s="31" t="inlineStr">
        <is>
          <t>http://www.thaifolk.com</t>
        </is>
      </c>
      <c r="C428" s="2" t="inlineStr">
        <is>
          <t>ศิลปะ-วัฒนธรรม</t>
        </is>
      </c>
      <c r="D428" s="4">
        <f>F428/71</f>
        <v/>
      </c>
      <c r="E428" s="5">
        <f>IF(D428&gt;=0.9,"ดีเยี่ยม",IF(D428&gt;=0.7,"ดี",IF(D428&gt;=0.5,"พอใช้","ต้องปรับปรุง")))</f>
        <v/>
      </c>
      <c r="F428" s="6">
        <f>J428+N428+R428+V428</f>
        <v/>
      </c>
      <c r="G428" s="6">
        <f>K428+O428+S428+W428</f>
        <v/>
      </c>
      <c r="H428" s="6">
        <f>L428+P428+T428+X428</f>
        <v/>
      </c>
      <c r="I428" s="7">
        <f>J428/37</f>
        <v/>
      </c>
      <c r="J428" s="6" t="n">
        <v>36</v>
      </c>
      <c r="K428" s="6" t="n">
        <v>1</v>
      </c>
      <c r="L428" s="6" t="n">
        <v>0</v>
      </c>
      <c r="M428" s="7">
        <f>N428/9</f>
        <v/>
      </c>
      <c r="N428" s="6" t="n">
        <v>8</v>
      </c>
      <c r="O428" s="6" t="n">
        <v>0</v>
      </c>
      <c r="P428" s="6" t="n">
        <v>1</v>
      </c>
      <c r="Q428" s="7">
        <f>R428/11</f>
        <v/>
      </c>
      <c r="R428" s="6" t="n">
        <v>6</v>
      </c>
      <c r="S428" s="6" t="n">
        <v>2</v>
      </c>
      <c r="T428" s="6" t="n">
        <v>3</v>
      </c>
      <c r="U428" s="7">
        <f>V428/14</f>
        <v/>
      </c>
      <c r="V428" s="6" t="n">
        <v>3</v>
      </c>
      <c r="W428" s="6" t="n">
        <v>10</v>
      </c>
      <c r="X428" s="6" t="n">
        <v>1</v>
      </c>
      <c r="Y428" s="8" t="n">
        <v>36.6</v>
      </c>
      <c r="Z428" s="9" t="inlineStr">
        <is>
          <t>Success</t>
        </is>
      </c>
      <c r="AA428" s="2" t="inlineStr">
        <is>
          <t>2026-10-08 22:13:25</t>
        </is>
      </c>
    </row>
    <row r="429" ht="21.95" customHeight="1">
      <c r="A429" s="2" t="n">
        <v>428</v>
      </c>
      <c r="B429" s="31" t="inlineStr">
        <is>
          <t>http://www.nayokcity.com</t>
        </is>
      </c>
      <c r="C429" s="2" t="inlineStr">
        <is>
          <t>ท่องเที่ยว</t>
        </is>
      </c>
      <c r="D429" s="4">
        <f>F429/71</f>
        <v/>
      </c>
      <c r="E429" s="5">
        <f>IF(D429&gt;=0.9,"ดีเยี่ยม",IF(D429&gt;=0.7,"ดี",IF(D429&gt;=0.5,"พอใช้","ต้องปรับปรุง")))</f>
        <v/>
      </c>
      <c r="F429" s="6">
        <f>J429+N429+R429+V429</f>
        <v/>
      </c>
      <c r="G429" s="6">
        <f>K429+O429+S429+W429</f>
        <v/>
      </c>
      <c r="H429" s="6">
        <f>L429+P429+T429+X429</f>
        <v/>
      </c>
      <c r="I429" s="7">
        <f>J429/37</f>
        <v/>
      </c>
      <c r="J429" s="6" t="n">
        <v>34</v>
      </c>
      <c r="K429" s="6" t="n">
        <v>3</v>
      </c>
      <c r="L429" s="6" t="n">
        <v>0</v>
      </c>
      <c r="M429" s="7">
        <f>N429/9</f>
        <v/>
      </c>
      <c r="N429" s="6" t="n">
        <v>6</v>
      </c>
      <c r="O429" s="6" t="n">
        <v>2</v>
      </c>
      <c r="P429" s="6" t="n">
        <v>1</v>
      </c>
      <c r="Q429" s="7">
        <f>R429/11</f>
        <v/>
      </c>
      <c r="R429" s="6" t="n">
        <v>5</v>
      </c>
      <c r="S429" s="6" t="n">
        <v>1</v>
      </c>
      <c r="T429" s="6" t="n">
        <v>5</v>
      </c>
      <c r="U429" s="7">
        <f>V429/14</f>
        <v/>
      </c>
      <c r="V429" s="6" t="n">
        <v>9</v>
      </c>
      <c r="W429" s="6" t="n">
        <v>3</v>
      </c>
      <c r="X429" s="6" t="n">
        <v>2</v>
      </c>
      <c r="Y429" s="8" t="n">
        <v>37.6</v>
      </c>
      <c r="Z429" s="9" t="inlineStr">
        <is>
          <t>Success</t>
        </is>
      </c>
      <c r="AA429" s="2" t="inlineStr">
        <is>
          <t>2026-10-08 22:14:03</t>
        </is>
      </c>
    </row>
    <row r="430" ht="21.95" customHeight="1">
      <c r="A430" s="2" t="n">
        <v>429</v>
      </c>
      <c r="B430" s="31" t="inlineStr">
        <is>
          <t>http://www.thaipr.net</t>
        </is>
      </c>
      <c r="C430" s="2" t="inlineStr">
        <is>
          <t>ข่าว-สื่อ</t>
        </is>
      </c>
      <c r="D430" s="10">
        <f>F430/71</f>
        <v/>
      </c>
      <c r="E430" s="11">
        <f>IF(D430&gt;=0.9,"ดีเยี่ยม",IF(D430&gt;=0.7,"ดี",IF(D430&gt;=0.5,"พอใช้","ต้องปรับปรุง")))</f>
        <v/>
      </c>
      <c r="F430" s="6">
        <f>J430+N430+R430+V430</f>
        <v/>
      </c>
      <c r="G430" s="6">
        <f>K430+O430+S430+W430</f>
        <v/>
      </c>
      <c r="H430" s="6">
        <f>L430+P430+T430+X430</f>
        <v/>
      </c>
      <c r="I430" s="7">
        <f>J430/37</f>
        <v/>
      </c>
      <c r="J430" s="6" t="n">
        <v>34</v>
      </c>
      <c r="K430" s="6" t="n">
        <v>3</v>
      </c>
      <c r="L430" s="6" t="n">
        <v>0</v>
      </c>
      <c r="M430" s="7">
        <f>N430/9</f>
        <v/>
      </c>
      <c r="N430" s="6" t="n">
        <v>7</v>
      </c>
      <c r="O430" s="6" t="n">
        <v>2</v>
      </c>
      <c r="P430" s="6" t="n">
        <v>0</v>
      </c>
      <c r="Q430" s="7">
        <f>R430/11</f>
        <v/>
      </c>
      <c r="R430" s="6" t="n">
        <v>3</v>
      </c>
      <c r="S430" s="6" t="n">
        <v>3</v>
      </c>
      <c r="T430" s="6" t="n">
        <v>5</v>
      </c>
      <c r="U430" s="7">
        <f>V430/14</f>
        <v/>
      </c>
      <c r="V430" s="6" t="n">
        <v>2</v>
      </c>
      <c r="W430" s="6" t="n">
        <v>12</v>
      </c>
      <c r="X430" s="6" t="n">
        <v>0</v>
      </c>
      <c r="Y430" s="8" t="n">
        <v>36.61</v>
      </c>
      <c r="Z430" s="9" t="inlineStr">
        <is>
          <t>Success</t>
        </is>
      </c>
      <c r="AA430" s="2" t="inlineStr">
        <is>
          <t>2026-10-08 22:14:39</t>
        </is>
      </c>
    </row>
    <row r="431" ht="21.95" customHeight="1">
      <c r="A431" s="2" t="n">
        <v>430</v>
      </c>
      <c r="B431" s="31" t="inlineStr">
        <is>
          <t>http://www.ethaicd.com</t>
        </is>
      </c>
      <c r="C431" s="2" t="inlineStr">
        <is>
          <t>ช๊อปปิ้ง</t>
        </is>
      </c>
      <c r="D431" s="4">
        <f>F431/71</f>
        <v/>
      </c>
      <c r="E431" s="5">
        <f>IF(D431&gt;=0.9,"ดีเยี่ยม",IF(D431&gt;=0.7,"ดี",IF(D431&gt;=0.5,"พอใช้","ต้องปรับปรุง")))</f>
        <v/>
      </c>
      <c r="F431" s="6">
        <f>J431+N431+R431+V431</f>
        <v/>
      </c>
      <c r="G431" s="6">
        <f>K431+O431+S431+W431</f>
        <v/>
      </c>
      <c r="H431" s="6">
        <f>L431+P431+T431+X431</f>
        <v/>
      </c>
      <c r="I431" s="7">
        <f>J431/37</f>
        <v/>
      </c>
      <c r="J431" s="6" t="n">
        <v>37</v>
      </c>
      <c r="K431" s="6" t="n">
        <v>0</v>
      </c>
      <c r="L431" s="6" t="n">
        <v>0</v>
      </c>
      <c r="M431" s="7">
        <f>N431/9</f>
        <v/>
      </c>
      <c r="N431" s="6" t="n">
        <v>8</v>
      </c>
      <c r="O431" s="6" t="n">
        <v>1</v>
      </c>
      <c r="P431" s="6" t="n">
        <v>0</v>
      </c>
      <c r="Q431" s="7">
        <f>R431/11</f>
        <v/>
      </c>
      <c r="R431" s="6" t="n">
        <v>7</v>
      </c>
      <c r="S431" s="6" t="n">
        <v>1</v>
      </c>
      <c r="T431" s="6" t="n">
        <v>3</v>
      </c>
      <c r="U431" s="7">
        <f>V431/14</f>
        <v/>
      </c>
      <c r="V431" s="6" t="n">
        <v>7</v>
      </c>
      <c r="W431" s="6" t="n">
        <v>5</v>
      </c>
      <c r="X431" s="6" t="n">
        <v>2</v>
      </c>
      <c r="Y431" s="8" t="n">
        <v>36.15</v>
      </c>
      <c r="Z431" s="9" t="inlineStr">
        <is>
          <t>Success</t>
        </is>
      </c>
      <c r="AA431" s="2" t="inlineStr">
        <is>
          <t>2026-10-08 22:15:16</t>
        </is>
      </c>
    </row>
    <row r="432" ht="21.95" customHeight="1">
      <c r="A432" s="2" t="n">
        <v>431</v>
      </c>
      <c r="B432" s="31" t="inlineStr">
        <is>
          <t>http://www.managerradio.com</t>
        </is>
      </c>
      <c r="C432" s="2" t="inlineStr">
        <is>
          <t>ข่าว-สื่อ</t>
        </is>
      </c>
      <c r="D432" s="25">
        <f>F432/71</f>
        <v/>
      </c>
      <c r="E432" s="26">
        <f>IF(D432&gt;=0.9,"ดีเยี่ยม",IF(D432&gt;=0.7,"ดี",IF(D432&gt;=0.5,"พอใช้","ต้องปรับปรุง")))</f>
        <v/>
      </c>
      <c r="F432" s="6">
        <f>J432+N432+R432+V432</f>
        <v/>
      </c>
      <c r="G432" s="6">
        <f>K432+O432+S432+W432</f>
        <v/>
      </c>
      <c r="H432" s="6">
        <f>L432+P432+T432+X432</f>
        <v/>
      </c>
      <c r="I432" s="7">
        <f>J432/37</f>
        <v/>
      </c>
      <c r="J432" s="6" t="n">
        <v>0</v>
      </c>
      <c r="K432" s="6" t="n">
        <v>37</v>
      </c>
      <c r="L432" s="6" t="n">
        <v>0</v>
      </c>
      <c r="M432" s="7">
        <f>N432/9</f>
        <v/>
      </c>
      <c r="N432" s="6" t="n">
        <v>0</v>
      </c>
      <c r="O432" s="6" t="n">
        <v>9</v>
      </c>
      <c r="P432" s="6" t="n">
        <v>0</v>
      </c>
      <c r="Q432" s="7">
        <f>R432/11</f>
        <v/>
      </c>
      <c r="R432" s="6" t="n">
        <v>0</v>
      </c>
      <c r="S432" s="6" t="n">
        <v>11</v>
      </c>
      <c r="T432" s="6" t="n">
        <v>0</v>
      </c>
      <c r="U432" s="7">
        <f>V432/14</f>
        <v/>
      </c>
      <c r="V432" s="6" t="n">
        <v>0</v>
      </c>
      <c r="W432" s="6" t="n">
        <v>14</v>
      </c>
      <c r="X432" s="6" t="n">
        <v>0</v>
      </c>
      <c r="Y432" s="8" t="n">
        <v>1.64</v>
      </c>
      <c r="Z432" s="27" t="inlineStr">
        <is>
          <t>Failed (หน้าพักโดเมน / โดเมนหมดอายุ)</t>
        </is>
      </c>
      <c r="AA432" s="2" t="inlineStr">
        <is>
          <t>2026-10-21 00:13:37</t>
        </is>
      </c>
    </row>
    <row r="433" ht="21.95" customHeight="1">
      <c r="A433" s="2" t="n">
        <v>432</v>
      </c>
      <c r="B433" s="31" t="inlineStr">
        <is>
          <t>http://www.pichate1964.com</t>
        </is>
      </c>
      <c r="C433" s="2" t="inlineStr">
        <is>
          <t>บันเทิง</t>
        </is>
      </c>
      <c r="D433" s="10">
        <f>F433/71</f>
        <v/>
      </c>
      <c r="E433" s="11">
        <f>IF(D433&gt;=0.9,"ดีเยี่ยม",IF(D433&gt;=0.7,"ดี",IF(D433&gt;=0.5,"พอใช้","ต้องปรับปรุง")))</f>
        <v/>
      </c>
      <c r="F433" s="6">
        <f>J433+N433+R433+V433</f>
        <v/>
      </c>
      <c r="G433" s="6">
        <f>K433+O433+S433+W433</f>
        <v/>
      </c>
      <c r="H433" s="6">
        <f>L433+P433+T433+X433</f>
        <v/>
      </c>
      <c r="I433" s="7">
        <f>J433/37</f>
        <v/>
      </c>
      <c r="J433" s="6" t="n">
        <v>36</v>
      </c>
      <c r="K433" s="6" t="n">
        <v>1</v>
      </c>
      <c r="L433" s="6" t="n">
        <v>0</v>
      </c>
      <c r="M433" s="7">
        <f>N433/9</f>
        <v/>
      </c>
      <c r="N433" s="6" t="n">
        <v>9</v>
      </c>
      <c r="O433" s="6" t="n">
        <v>0</v>
      </c>
      <c r="P433" s="6" t="n">
        <v>0</v>
      </c>
      <c r="Q433" s="7">
        <f>R433/11</f>
        <v/>
      </c>
      <c r="R433" s="6" t="n">
        <v>4</v>
      </c>
      <c r="S433" s="6" t="n">
        <v>0</v>
      </c>
      <c r="T433" s="6" t="n">
        <v>7</v>
      </c>
      <c r="U433" s="7">
        <f>V433/14</f>
        <v/>
      </c>
      <c r="V433" s="6" t="n">
        <v>0</v>
      </c>
      <c r="W433" s="6" t="n">
        <v>0</v>
      </c>
      <c r="X433" s="6" t="n">
        <v>14</v>
      </c>
      <c r="Y433" s="8" t="n">
        <v>34.77</v>
      </c>
      <c r="Z433" s="9" t="inlineStr">
        <is>
          <t>Success</t>
        </is>
      </c>
      <c r="AA433" s="2" t="inlineStr">
        <is>
          <t>2026-10-09 12:35:59</t>
        </is>
      </c>
    </row>
    <row r="434" ht="21.95" customHeight="1">
      <c r="A434" s="2" t="n">
        <v>433</v>
      </c>
      <c r="B434" s="31" t="inlineStr">
        <is>
          <t>http://www.tnsc.com</t>
        </is>
      </c>
      <c r="C434" s="2" t="inlineStr">
        <is>
          <t>หน่วยงานราชการ,องค์กร</t>
        </is>
      </c>
      <c r="D434" s="10">
        <f>F434/71</f>
        <v/>
      </c>
      <c r="E434" s="11">
        <f>IF(D434&gt;=0.9,"ดีเยี่ยม",IF(D434&gt;=0.7,"ดี",IF(D434&gt;=0.5,"พอใช้","ต้องปรับปรุง")))</f>
        <v/>
      </c>
      <c r="F434" s="6">
        <f>J434+N434+R434+V434</f>
        <v/>
      </c>
      <c r="G434" s="6">
        <f>K434+O434+S434+W434</f>
        <v/>
      </c>
      <c r="H434" s="6">
        <f>L434+P434+T434+X434</f>
        <v/>
      </c>
      <c r="I434" s="7">
        <f>J434/37</f>
        <v/>
      </c>
      <c r="J434" s="6" t="n">
        <v>32</v>
      </c>
      <c r="K434" s="6" t="n">
        <v>5</v>
      </c>
      <c r="L434" s="6" t="n">
        <v>0</v>
      </c>
      <c r="M434" s="7">
        <f>N434/9</f>
        <v/>
      </c>
      <c r="N434" s="6" t="n">
        <v>7</v>
      </c>
      <c r="O434" s="6" t="n">
        <v>2</v>
      </c>
      <c r="P434" s="6" t="n">
        <v>0</v>
      </c>
      <c r="Q434" s="7">
        <f>R434/11</f>
        <v/>
      </c>
      <c r="R434" s="6" t="n">
        <v>5</v>
      </c>
      <c r="S434" s="6" t="n">
        <v>3</v>
      </c>
      <c r="T434" s="6" t="n">
        <v>3</v>
      </c>
      <c r="U434" s="7">
        <f>V434/14</f>
        <v/>
      </c>
      <c r="V434" s="6" t="n">
        <v>2</v>
      </c>
      <c r="W434" s="6" t="n">
        <v>12</v>
      </c>
      <c r="X434" s="6" t="n">
        <v>0</v>
      </c>
      <c r="Y434" s="8" t="n">
        <v>44.99</v>
      </c>
      <c r="Z434" s="9" t="inlineStr">
        <is>
          <t>Success</t>
        </is>
      </c>
      <c r="AA434" s="2" t="inlineStr">
        <is>
          <t>2026-10-08 22:17:20</t>
        </is>
      </c>
    </row>
    <row r="435" ht="21.95" customHeight="1">
      <c r="A435" s="2" t="n">
        <v>434</v>
      </c>
      <c r="B435" s="31" t="inlineStr">
        <is>
          <t>http://www.tourism.go.th</t>
        </is>
      </c>
      <c r="C435" s="2" t="inlineStr">
        <is>
          <t>หน่วยงานราชการ,องค์กร</t>
        </is>
      </c>
      <c r="D435" s="10">
        <f>F435/71</f>
        <v/>
      </c>
      <c r="E435" s="11">
        <f>IF(D435&gt;=0.9,"ดีเยี่ยม",IF(D435&gt;=0.7,"ดี",IF(D435&gt;=0.5,"พอใช้","ต้องปรับปรุง")))</f>
        <v/>
      </c>
      <c r="F435" s="6">
        <f>J435+N435+R435+V435</f>
        <v/>
      </c>
      <c r="G435" s="6">
        <f>K435+O435+S435+W435</f>
        <v/>
      </c>
      <c r="H435" s="6">
        <f>L435+P435+T435+X435</f>
        <v/>
      </c>
      <c r="I435" s="7">
        <f>J435/37</f>
        <v/>
      </c>
      <c r="J435" s="6" t="n">
        <v>30</v>
      </c>
      <c r="K435" s="6" t="n">
        <v>7</v>
      </c>
      <c r="L435" s="6" t="n">
        <v>0</v>
      </c>
      <c r="M435" s="7">
        <f>N435/9</f>
        <v/>
      </c>
      <c r="N435" s="6" t="n">
        <v>7</v>
      </c>
      <c r="O435" s="6" t="n">
        <v>2</v>
      </c>
      <c r="P435" s="6" t="n">
        <v>0</v>
      </c>
      <c r="Q435" s="7">
        <f>R435/11</f>
        <v/>
      </c>
      <c r="R435" s="6" t="n">
        <v>3</v>
      </c>
      <c r="S435" s="6" t="n">
        <v>3</v>
      </c>
      <c r="T435" s="6" t="n">
        <v>5</v>
      </c>
      <c r="U435" s="7">
        <f>V435/14</f>
        <v/>
      </c>
      <c r="V435" s="6" t="n">
        <v>2</v>
      </c>
      <c r="W435" s="6" t="n">
        <v>12</v>
      </c>
      <c r="X435" s="6" t="n">
        <v>0</v>
      </c>
      <c r="Y435" s="8" t="n">
        <v>21.4</v>
      </c>
      <c r="Z435" s="9" t="inlineStr">
        <is>
          <t>Success</t>
        </is>
      </c>
      <c r="AA435" s="2" t="inlineStr">
        <is>
          <t>2026-10-09 12:36:21</t>
        </is>
      </c>
    </row>
    <row r="436" ht="21.95" customHeight="1">
      <c r="A436" s="2" t="n">
        <v>435</v>
      </c>
      <c r="B436" s="31" t="inlineStr">
        <is>
          <t>http://www.jogandjoy.com</t>
        </is>
      </c>
      <c r="C436" s="2" t="inlineStr">
        <is>
          <t>กีฬา</t>
        </is>
      </c>
      <c r="D436" s="10">
        <f>F436/71</f>
        <v/>
      </c>
      <c r="E436" s="11">
        <f>IF(D436&gt;=0.9,"ดีเยี่ยม",IF(D436&gt;=0.7,"ดี",IF(D436&gt;=0.5,"พอใช้","ต้องปรับปรุง")))</f>
        <v/>
      </c>
      <c r="F436" s="6">
        <f>J436+N436+R436+V436</f>
        <v/>
      </c>
      <c r="G436" s="6">
        <f>K436+O436+S436+W436</f>
        <v/>
      </c>
      <c r="H436" s="6">
        <f>L436+P436+T436+X436</f>
        <v/>
      </c>
      <c r="I436" s="7">
        <f>J436/37</f>
        <v/>
      </c>
      <c r="J436" s="6" t="n">
        <v>33</v>
      </c>
      <c r="K436" s="6" t="n">
        <v>4</v>
      </c>
      <c r="L436" s="6" t="n">
        <v>0</v>
      </c>
      <c r="M436" s="7">
        <f>N436/9</f>
        <v/>
      </c>
      <c r="N436" s="6" t="n">
        <v>7</v>
      </c>
      <c r="O436" s="6" t="n">
        <v>2</v>
      </c>
      <c r="P436" s="6" t="n">
        <v>0</v>
      </c>
      <c r="Q436" s="7">
        <f>R436/11</f>
        <v/>
      </c>
      <c r="R436" s="6" t="n">
        <v>4</v>
      </c>
      <c r="S436" s="6" t="n">
        <v>2</v>
      </c>
      <c r="T436" s="6" t="n">
        <v>5</v>
      </c>
      <c r="U436" s="7">
        <f>V436/14</f>
        <v/>
      </c>
      <c r="V436" s="6" t="n">
        <v>3</v>
      </c>
      <c r="W436" s="6" t="n">
        <v>8</v>
      </c>
      <c r="X436" s="6" t="n">
        <v>3</v>
      </c>
      <c r="Y436" s="8" t="n">
        <v>37.33</v>
      </c>
      <c r="Z436" s="9" t="inlineStr">
        <is>
          <t>Success</t>
        </is>
      </c>
      <c r="AA436" s="2" t="inlineStr">
        <is>
          <t>2026-10-08 22:18:33</t>
        </is>
      </c>
    </row>
    <row r="437" ht="21.95" customHeight="1">
      <c r="A437" s="2" t="n">
        <v>436</v>
      </c>
      <c r="B437" s="31" t="inlineStr">
        <is>
          <t>http://www.wacoal.co.th</t>
        </is>
      </c>
      <c r="C437" s="2" t="inlineStr">
        <is>
          <t>ช๊อปปิ้ง</t>
        </is>
      </c>
      <c r="D437" s="10">
        <f>F437/71</f>
        <v/>
      </c>
      <c r="E437" s="11">
        <f>IF(D437&gt;=0.9,"ดีเยี่ยม",IF(D437&gt;=0.7,"ดี",IF(D437&gt;=0.5,"พอใช้","ต้องปรับปรุง")))</f>
        <v/>
      </c>
      <c r="F437" s="6">
        <f>J437+N437+R437+V437</f>
        <v/>
      </c>
      <c r="G437" s="6">
        <f>K437+O437+S437+W437</f>
        <v/>
      </c>
      <c r="H437" s="6">
        <f>L437+P437+T437+X437</f>
        <v/>
      </c>
      <c r="I437" s="7">
        <f>J437/37</f>
        <v/>
      </c>
      <c r="J437" s="6" t="n">
        <v>34</v>
      </c>
      <c r="K437" s="6" t="n">
        <v>2</v>
      </c>
      <c r="L437" s="6" t="n">
        <v>1</v>
      </c>
      <c r="M437" s="7">
        <f>N437/9</f>
        <v/>
      </c>
      <c r="N437" s="6" t="n">
        <v>6</v>
      </c>
      <c r="O437" s="6" t="n">
        <v>3</v>
      </c>
      <c r="P437" s="6" t="n">
        <v>0</v>
      </c>
      <c r="Q437" s="7">
        <f>R437/11</f>
        <v/>
      </c>
      <c r="R437" s="6" t="n">
        <v>4</v>
      </c>
      <c r="S437" s="6" t="n">
        <v>2</v>
      </c>
      <c r="T437" s="6" t="n">
        <v>5</v>
      </c>
      <c r="U437" s="7">
        <f>V437/14</f>
        <v/>
      </c>
      <c r="V437" s="6" t="n">
        <v>5</v>
      </c>
      <c r="W437" s="6" t="n">
        <v>8</v>
      </c>
      <c r="X437" s="6" t="n">
        <v>1</v>
      </c>
      <c r="Y437" s="8" t="n">
        <v>49.42</v>
      </c>
      <c r="Z437" s="9" t="inlineStr">
        <is>
          <t>Success</t>
        </is>
      </c>
      <c r="AA437" s="2" t="inlineStr">
        <is>
          <t>2026-10-08 22:19:22</t>
        </is>
      </c>
    </row>
    <row r="438" ht="21.95" customHeight="1">
      <c r="A438" s="2" t="n">
        <v>437</v>
      </c>
      <c r="B438" s="31" t="inlineStr">
        <is>
          <t>http://www.kumled.com</t>
        </is>
      </c>
      <c r="C438" s="2" t="inlineStr">
        <is>
          <t>บันเทิง</t>
        </is>
      </c>
      <c r="D438" s="25">
        <f>F438/71</f>
        <v/>
      </c>
      <c r="E438" s="26">
        <f>IF(D438&gt;=0.9,"ดีเยี่ยม",IF(D438&gt;=0.7,"ดี",IF(D438&gt;=0.5,"พอใช้","ต้องปรับปรุง")))</f>
        <v/>
      </c>
      <c r="F438" s="6">
        <f>J438+N438+R438+V438</f>
        <v/>
      </c>
      <c r="G438" s="6">
        <f>K438+O438+S438+W438</f>
        <v/>
      </c>
      <c r="H438" s="6">
        <f>L438+P438+T438+X438</f>
        <v/>
      </c>
      <c r="I438" s="7">
        <f>J438/37</f>
        <v/>
      </c>
      <c r="J438" s="6" t="n">
        <v>0</v>
      </c>
      <c r="K438" s="6" t="n">
        <v>37</v>
      </c>
      <c r="L438" s="6" t="n">
        <v>0</v>
      </c>
      <c r="M438" s="7">
        <f>N438/9</f>
        <v/>
      </c>
      <c r="N438" s="6" t="n">
        <v>0</v>
      </c>
      <c r="O438" s="6" t="n">
        <v>9</v>
      </c>
      <c r="P438" s="6" t="n">
        <v>0</v>
      </c>
      <c r="Q438" s="7">
        <f>R438/11</f>
        <v/>
      </c>
      <c r="R438" s="6" t="n">
        <v>0</v>
      </c>
      <c r="S438" s="6" t="n">
        <v>11</v>
      </c>
      <c r="T438" s="6" t="n">
        <v>0</v>
      </c>
      <c r="U438" s="7">
        <f>V438/14</f>
        <v/>
      </c>
      <c r="V438" s="6" t="n">
        <v>0</v>
      </c>
      <c r="W438" s="6" t="n">
        <v>14</v>
      </c>
      <c r="X438" s="6" t="n">
        <v>0</v>
      </c>
      <c r="Y438" s="8" t="n">
        <v>0.97</v>
      </c>
      <c r="Z438" s="27" t="inlineStr">
        <is>
          <t>Failed (โดนบล็อก / เข้าถึงไม่ได้ (HTTP 403))</t>
        </is>
      </c>
      <c r="AA438" s="2" t="inlineStr">
        <is>
          <t>2026-10-21 00:13:37</t>
        </is>
      </c>
    </row>
    <row r="439" ht="21.95" customHeight="1">
      <c r="A439" s="2" t="n">
        <v>438</v>
      </c>
      <c r="B439" s="31" t="inlineStr">
        <is>
          <t>http://www.kondee.com</t>
        </is>
      </c>
      <c r="C439" s="2" t="inlineStr">
        <is>
          <t>ศิลปะ-วัฒนธรรม</t>
        </is>
      </c>
      <c r="D439" s="10">
        <f>F439/71</f>
        <v/>
      </c>
      <c r="E439" s="11">
        <f>IF(D439&gt;=0.9,"ดีเยี่ยม",IF(D439&gt;=0.7,"ดี",IF(D439&gt;=0.5,"พอใช้","ต้องปรับปรุง")))</f>
        <v/>
      </c>
      <c r="F439" s="6">
        <f>J439+N439+R439+V439</f>
        <v/>
      </c>
      <c r="G439" s="6">
        <f>K439+O439+S439+W439</f>
        <v/>
      </c>
      <c r="H439" s="6">
        <f>L439+P439+T439+X439</f>
        <v/>
      </c>
      <c r="I439" s="7">
        <f>J439/37</f>
        <v/>
      </c>
      <c r="J439" s="6" t="n">
        <v>34</v>
      </c>
      <c r="K439" s="6" t="n">
        <v>3</v>
      </c>
      <c r="L439" s="6" t="n">
        <v>0</v>
      </c>
      <c r="M439" s="7">
        <f>N439/9</f>
        <v/>
      </c>
      <c r="N439" s="6" t="n">
        <v>8</v>
      </c>
      <c r="O439" s="6" t="n">
        <v>1</v>
      </c>
      <c r="P439" s="6" t="n">
        <v>0</v>
      </c>
      <c r="Q439" s="7">
        <f>R439/11</f>
        <v/>
      </c>
      <c r="R439" s="6" t="n">
        <v>2</v>
      </c>
      <c r="S439" s="6" t="n">
        <v>4</v>
      </c>
      <c r="T439" s="6" t="n">
        <v>5</v>
      </c>
      <c r="U439" s="7">
        <f>V439/14</f>
        <v/>
      </c>
      <c r="V439" s="6" t="n">
        <v>2</v>
      </c>
      <c r="W439" s="6" t="n">
        <v>12</v>
      </c>
      <c r="X439" s="6" t="n">
        <v>0</v>
      </c>
      <c r="Y439" s="8" t="n">
        <v>36.11</v>
      </c>
      <c r="Z439" s="9" t="inlineStr">
        <is>
          <t>Success</t>
        </is>
      </c>
      <c r="AA439" s="2" t="inlineStr">
        <is>
          <t>2026-10-08 22:21:08</t>
        </is>
      </c>
    </row>
    <row r="440" ht="21.95" customHeight="1">
      <c r="A440" s="2" t="n">
        <v>439</v>
      </c>
      <c r="B440" s="31" t="inlineStr">
        <is>
          <t>http://www.ieshow.com</t>
        </is>
      </c>
      <c r="C440" s="2" t="inlineStr">
        <is>
          <t>คอมพิวเตอร์</t>
        </is>
      </c>
      <c r="D440" s="10">
        <f>F440/71</f>
        <v/>
      </c>
      <c r="E440" s="11">
        <f>IF(D440&gt;=0.9,"ดีเยี่ยม",IF(D440&gt;=0.7,"ดี",IF(D440&gt;=0.5,"พอใช้","ต้องปรับปรุง")))</f>
        <v/>
      </c>
      <c r="F440" s="6">
        <f>J440+N440+R440+V440</f>
        <v/>
      </c>
      <c r="G440" s="6">
        <f>K440+O440+S440+W440</f>
        <v/>
      </c>
      <c r="H440" s="6">
        <f>L440+P440+T440+X440</f>
        <v/>
      </c>
      <c r="I440" s="7">
        <f>J440/37</f>
        <v/>
      </c>
      <c r="J440" s="6" t="n">
        <v>34</v>
      </c>
      <c r="K440" s="6" t="n">
        <v>3</v>
      </c>
      <c r="L440" s="6" t="n">
        <v>0</v>
      </c>
      <c r="M440" s="7">
        <f>N440/9</f>
        <v/>
      </c>
      <c r="N440" s="6" t="n">
        <v>6</v>
      </c>
      <c r="O440" s="6" t="n">
        <v>2</v>
      </c>
      <c r="P440" s="6" t="n">
        <v>1</v>
      </c>
      <c r="Q440" s="7">
        <f>R440/11</f>
        <v/>
      </c>
      <c r="R440" s="6" t="n">
        <v>7</v>
      </c>
      <c r="S440" s="6" t="n">
        <v>3</v>
      </c>
      <c r="T440" s="6" t="n">
        <v>1</v>
      </c>
      <c r="U440" s="7">
        <f>V440/14</f>
        <v/>
      </c>
      <c r="V440" s="6" t="n">
        <v>2</v>
      </c>
      <c r="W440" s="6" t="n">
        <v>12</v>
      </c>
      <c r="X440" s="6" t="n">
        <v>0</v>
      </c>
      <c r="Y440" s="8" t="n">
        <v>56.36</v>
      </c>
      <c r="Z440" s="9" t="inlineStr">
        <is>
          <t>Success</t>
        </is>
      </c>
      <c r="AA440" s="2" t="inlineStr">
        <is>
          <t>2026-10-09 12:38:16</t>
        </is>
      </c>
    </row>
    <row r="441" ht="21.95" customHeight="1">
      <c r="A441" s="2" t="n">
        <v>440</v>
      </c>
      <c r="B441" s="31" t="inlineStr">
        <is>
          <t>http://www.lesaproject.com</t>
        </is>
      </c>
      <c r="C441" s="2" t="inlineStr">
        <is>
          <t>การศึกษา</t>
        </is>
      </c>
      <c r="D441" s="4">
        <f>F441/71</f>
        <v/>
      </c>
      <c r="E441" s="5">
        <f>IF(D441&gt;=0.9,"ดีเยี่ยม",IF(D441&gt;=0.7,"ดี",IF(D441&gt;=0.5,"พอใช้","ต้องปรับปรุง")))</f>
        <v/>
      </c>
      <c r="F441" s="6">
        <f>J441+N441+R441+V441</f>
        <v/>
      </c>
      <c r="G441" s="6">
        <f>K441+O441+S441+W441</f>
        <v/>
      </c>
      <c r="H441" s="6">
        <f>L441+P441+T441+X441</f>
        <v/>
      </c>
      <c r="I441" s="7">
        <f>J441/37</f>
        <v/>
      </c>
      <c r="J441" s="6" t="n">
        <v>37</v>
      </c>
      <c r="K441" s="6" t="n">
        <v>0</v>
      </c>
      <c r="L441" s="6" t="n">
        <v>0</v>
      </c>
      <c r="M441" s="7">
        <f>N441/9</f>
        <v/>
      </c>
      <c r="N441" s="6" t="n">
        <v>9</v>
      </c>
      <c r="O441" s="6" t="n">
        <v>0</v>
      </c>
      <c r="P441" s="6" t="n">
        <v>0</v>
      </c>
      <c r="Q441" s="7">
        <f>R441/11</f>
        <v/>
      </c>
      <c r="R441" s="6" t="n">
        <v>6</v>
      </c>
      <c r="S441" s="6" t="n">
        <v>2</v>
      </c>
      <c r="T441" s="6" t="n">
        <v>3</v>
      </c>
      <c r="U441" s="7">
        <f>V441/14</f>
        <v/>
      </c>
      <c r="V441" s="6" t="n">
        <v>9</v>
      </c>
      <c r="W441" s="6" t="n">
        <v>4</v>
      </c>
      <c r="X441" s="6" t="n">
        <v>1</v>
      </c>
      <c r="Y441" s="8" t="n">
        <v>34.87</v>
      </c>
      <c r="Z441" s="9" t="inlineStr">
        <is>
          <t>Success</t>
        </is>
      </c>
      <c r="AA441" s="2" t="inlineStr">
        <is>
          <t>2026-10-08 22:22:40</t>
        </is>
      </c>
    </row>
    <row r="442" ht="21.95" customHeight="1">
      <c r="A442" s="2" t="n">
        <v>441</v>
      </c>
      <c r="B442" s="31" t="inlineStr">
        <is>
          <t>http://www.insuredd.com</t>
        </is>
      </c>
      <c r="C442" s="2" t="inlineStr">
        <is>
          <t>ธนาคาร-การเงิน</t>
        </is>
      </c>
      <c r="D442" s="10">
        <f>F442/71</f>
        <v/>
      </c>
      <c r="E442" s="11">
        <f>IF(D442&gt;=0.9,"ดีเยี่ยม",IF(D442&gt;=0.7,"ดี",IF(D442&gt;=0.5,"พอใช้","ต้องปรับปรุง")))</f>
        <v/>
      </c>
      <c r="F442" s="6">
        <f>J442+N442+R442+V442</f>
        <v/>
      </c>
      <c r="G442" s="6">
        <f>K442+O442+S442+W442</f>
        <v/>
      </c>
      <c r="H442" s="6">
        <f>L442+P442+T442+X442</f>
        <v/>
      </c>
      <c r="I442" s="7">
        <f>J442/37</f>
        <v/>
      </c>
      <c r="J442" s="6" t="n">
        <v>35</v>
      </c>
      <c r="K442" s="6" t="n">
        <v>2</v>
      </c>
      <c r="L442" s="6" t="n">
        <v>0</v>
      </c>
      <c r="M442" s="7">
        <f>N442/9</f>
        <v/>
      </c>
      <c r="N442" s="6" t="n">
        <v>7</v>
      </c>
      <c r="O442" s="6" t="n">
        <v>2</v>
      </c>
      <c r="P442" s="6" t="n">
        <v>0</v>
      </c>
      <c r="Q442" s="7">
        <f>R442/11</f>
        <v/>
      </c>
      <c r="R442" s="6" t="n">
        <v>3</v>
      </c>
      <c r="S442" s="6" t="n">
        <v>3</v>
      </c>
      <c r="T442" s="6" t="n">
        <v>5</v>
      </c>
      <c r="U442" s="7">
        <f>V442/14</f>
        <v/>
      </c>
      <c r="V442" s="6" t="n">
        <v>2</v>
      </c>
      <c r="W442" s="6" t="n">
        <v>12</v>
      </c>
      <c r="X442" s="6" t="n">
        <v>0</v>
      </c>
      <c r="Y442" s="8" t="n">
        <v>39.96</v>
      </c>
      <c r="Z442" s="9" t="inlineStr">
        <is>
          <t>Success</t>
        </is>
      </c>
      <c r="AA442" s="2" t="inlineStr">
        <is>
          <t>2026-10-08 22:23:20</t>
        </is>
      </c>
    </row>
    <row r="443" ht="21.95" customHeight="1">
      <c r="A443" s="2" t="n">
        <v>442</v>
      </c>
      <c r="B443" s="31" t="inlineStr">
        <is>
          <t>http://www.thai-exporttrade.com</t>
        </is>
      </c>
      <c r="C443" s="2" t="inlineStr">
        <is>
          <t>ช๊อปปิ้ง</t>
        </is>
      </c>
      <c r="D443" s="25">
        <f>F443/71</f>
        <v/>
      </c>
      <c r="E443" s="26">
        <f>IF(D443&gt;=0.9,"ดีเยี่ยม",IF(D443&gt;=0.7,"ดี",IF(D443&gt;=0.5,"พอใช้","ต้องปรับปรุง")))</f>
        <v/>
      </c>
      <c r="F443" s="6">
        <f>J443+N443+R443+V443</f>
        <v/>
      </c>
      <c r="G443" s="6">
        <f>K443+O443+S443+W443</f>
        <v/>
      </c>
      <c r="H443" s="6">
        <f>L443+P443+T443+X443</f>
        <v/>
      </c>
      <c r="I443" s="7">
        <f>J443/37</f>
        <v/>
      </c>
      <c r="J443" s="6" t="n">
        <v>0</v>
      </c>
      <c r="K443" s="6" t="n">
        <v>37</v>
      </c>
      <c r="L443" s="6" t="n">
        <v>0</v>
      </c>
      <c r="M443" s="7">
        <f>N443/9</f>
        <v/>
      </c>
      <c r="N443" s="6" t="n">
        <v>0</v>
      </c>
      <c r="O443" s="6" t="n">
        <v>9</v>
      </c>
      <c r="P443" s="6" t="n">
        <v>0</v>
      </c>
      <c r="Q443" s="7">
        <f>R443/11</f>
        <v/>
      </c>
      <c r="R443" s="6" t="n">
        <v>0</v>
      </c>
      <c r="S443" s="6" t="n">
        <v>11</v>
      </c>
      <c r="T443" s="6" t="n">
        <v>0</v>
      </c>
      <c r="U443" s="7">
        <f>V443/14</f>
        <v/>
      </c>
      <c r="V443" s="6" t="n">
        <v>0</v>
      </c>
      <c r="W443" s="6" t="n">
        <v>14</v>
      </c>
      <c r="X443" s="6" t="n">
        <v>0</v>
      </c>
      <c r="Y443" s="8" t="n">
        <v>0.03</v>
      </c>
      <c r="Z443" s="27" t="inlineStr">
        <is>
          <t>Failed (DNS Error (หาเว็บไม่เจอ))</t>
        </is>
      </c>
      <c r="AA443" s="2" t="inlineStr">
        <is>
          <t>2026-10-21 00:13:37</t>
        </is>
      </c>
    </row>
    <row r="444" ht="21.95" customHeight="1">
      <c r="A444" s="2" t="n">
        <v>443</v>
      </c>
      <c r="B444" s="31" t="inlineStr">
        <is>
          <t>http://www.sivava.com</t>
        </is>
      </c>
      <c r="C444" s="2" t="inlineStr">
        <is>
          <t>ช๊อปปิ้ง</t>
        </is>
      </c>
      <c r="D444" s="10">
        <f>F444/71</f>
        <v/>
      </c>
      <c r="E444" s="11">
        <f>IF(D444&gt;=0.9,"ดีเยี่ยม",IF(D444&gt;=0.7,"ดี",IF(D444&gt;=0.5,"พอใช้","ต้องปรับปรุง")))</f>
        <v/>
      </c>
      <c r="F444" s="6">
        <f>J444+N444+R444+V444</f>
        <v/>
      </c>
      <c r="G444" s="6">
        <f>K444+O444+S444+W444</f>
        <v/>
      </c>
      <c r="H444" s="6">
        <f>L444+P444+T444+X444</f>
        <v/>
      </c>
      <c r="I444" s="7">
        <f>J444/37</f>
        <v/>
      </c>
      <c r="J444" s="6" t="n">
        <v>36</v>
      </c>
      <c r="K444" s="6" t="n">
        <v>1</v>
      </c>
      <c r="L444" s="6" t="n">
        <v>0</v>
      </c>
      <c r="M444" s="7">
        <f>N444/9</f>
        <v/>
      </c>
      <c r="N444" s="6" t="n">
        <v>6</v>
      </c>
      <c r="O444" s="6" t="n">
        <v>3</v>
      </c>
      <c r="P444" s="6" t="n">
        <v>0</v>
      </c>
      <c r="Q444" s="7">
        <f>R444/11</f>
        <v/>
      </c>
      <c r="R444" s="6" t="n">
        <v>3</v>
      </c>
      <c r="S444" s="6" t="n">
        <v>3</v>
      </c>
      <c r="T444" s="6" t="n">
        <v>5</v>
      </c>
      <c r="U444" s="7">
        <f>V444/14</f>
        <v/>
      </c>
      <c r="V444" s="6" t="n">
        <v>3</v>
      </c>
      <c r="W444" s="6" t="n">
        <v>11</v>
      </c>
      <c r="X444" s="6" t="n">
        <v>0</v>
      </c>
      <c r="Y444" s="8" t="n">
        <v>38.44</v>
      </c>
      <c r="Z444" s="9" t="inlineStr">
        <is>
          <t>Success</t>
        </is>
      </c>
      <c r="AA444" s="2" t="inlineStr">
        <is>
          <t>2026-10-08 22:24:36</t>
        </is>
      </c>
    </row>
    <row r="445" ht="21.95" customHeight="1">
      <c r="A445" s="2" t="n">
        <v>444</v>
      </c>
      <c r="B445" s="31" t="inlineStr">
        <is>
          <t>http://www.mentor.ac</t>
        </is>
      </c>
      <c r="C445" s="2" t="inlineStr">
        <is>
          <t>การศึกษา</t>
        </is>
      </c>
      <c r="D445" s="25">
        <f>F445/71</f>
        <v/>
      </c>
      <c r="E445" s="26">
        <f>IF(D445&gt;=0.9,"ดีเยี่ยม",IF(D445&gt;=0.7,"ดี",IF(D445&gt;=0.5,"พอใช้","ต้องปรับปรุง")))</f>
        <v/>
      </c>
      <c r="F445" s="6">
        <f>J445+N445+R445+V445</f>
        <v/>
      </c>
      <c r="G445" s="6">
        <f>K445+O445+S445+W445</f>
        <v/>
      </c>
      <c r="H445" s="6">
        <f>L445+P445+T445+X445</f>
        <v/>
      </c>
      <c r="I445" s="7">
        <f>J445/37</f>
        <v/>
      </c>
      <c r="J445" s="6" t="n">
        <v>0</v>
      </c>
      <c r="K445" s="6" t="n">
        <v>37</v>
      </c>
      <c r="L445" s="6" t="n">
        <v>0</v>
      </c>
      <c r="M445" s="7">
        <f>N445/9</f>
        <v/>
      </c>
      <c r="N445" s="6" t="n">
        <v>0</v>
      </c>
      <c r="O445" s="6" t="n">
        <v>9</v>
      </c>
      <c r="P445" s="6" t="n">
        <v>0</v>
      </c>
      <c r="Q445" s="7">
        <f>R445/11</f>
        <v/>
      </c>
      <c r="R445" s="6" t="n">
        <v>0</v>
      </c>
      <c r="S445" s="6" t="n">
        <v>11</v>
      </c>
      <c r="T445" s="6" t="n">
        <v>0</v>
      </c>
      <c r="U445" s="7">
        <f>V445/14</f>
        <v/>
      </c>
      <c r="V445" s="6" t="n">
        <v>0</v>
      </c>
      <c r="W445" s="6" t="n">
        <v>14</v>
      </c>
      <c r="X445" s="6" t="n">
        <v>0</v>
      </c>
      <c r="Y445" s="8" t="n">
        <v>1.18</v>
      </c>
      <c r="Z445" s="27" t="inlineStr">
        <is>
          <t>Failed (โดนบล็อก / เข้าถึงไม่ได้ (HTTP 403))</t>
        </is>
      </c>
      <c r="AA445" s="2" t="inlineStr">
        <is>
          <t>2026-10-21 00:13:37</t>
        </is>
      </c>
    </row>
    <row r="446" ht="21.95" customHeight="1">
      <c r="A446" s="2" t="n">
        <v>445</v>
      </c>
      <c r="B446" s="31" t="inlineStr">
        <is>
          <t>http://www.maama.com</t>
        </is>
      </c>
      <c r="C446" s="2" t="inlineStr">
        <is>
          <t>บันเทิง</t>
        </is>
      </c>
      <c r="D446" s="10">
        <f>F446/71</f>
        <v/>
      </c>
      <c r="E446" s="11">
        <f>IF(D446&gt;=0.9,"ดีเยี่ยม",IF(D446&gt;=0.7,"ดี",IF(D446&gt;=0.5,"พอใช้","ต้องปรับปรุง")))</f>
        <v/>
      </c>
      <c r="F446" s="6">
        <f>J446+N446+R446+V446</f>
        <v/>
      </c>
      <c r="G446" s="6">
        <f>K446+O446+S446+W446</f>
        <v/>
      </c>
      <c r="H446" s="6">
        <f>L446+P446+T446+X446</f>
        <v/>
      </c>
      <c r="I446" s="7">
        <f>J446/37</f>
        <v/>
      </c>
      <c r="J446" s="6" t="n">
        <v>33</v>
      </c>
      <c r="K446" s="6" t="n">
        <v>3</v>
      </c>
      <c r="L446" s="6" t="n">
        <v>1</v>
      </c>
      <c r="M446" s="7">
        <f>N446/9</f>
        <v/>
      </c>
      <c r="N446" s="6" t="n">
        <v>7</v>
      </c>
      <c r="O446" s="6" t="n">
        <v>2</v>
      </c>
      <c r="P446" s="6" t="n">
        <v>0</v>
      </c>
      <c r="Q446" s="7">
        <f>R446/11</f>
        <v/>
      </c>
      <c r="R446" s="6" t="n">
        <v>3</v>
      </c>
      <c r="S446" s="6" t="n">
        <v>3</v>
      </c>
      <c r="T446" s="6" t="n">
        <v>5</v>
      </c>
      <c r="U446" s="7">
        <f>V446/14</f>
        <v/>
      </c>
      <c r="V446" s="6" t="n">
        <v>2</v>
      </c>
      <c r="W446" s="6" t="n">
        <v>12</v>
      </c>
      <c r="X446" s="6" t="n">
        <v>0</v>
      </c>
      <c r="Y446" s="8" t="n">
        <v>36.79</v>
      </c>
      <c r="Z446" s="9" t="inlineStr">
        <is>
          <t>Success</t>
        </is>
      </c>
      <c r="AA446" s="2" t="inlineStr">
        <is>
          <t>2026-10-08 22:26:13</t>
        </is>
      </c>
    </row>
    <row r="447" ht="21.95" customHeight="1">
      <c r="A447" s="2" t="n">
        <v>446</v>
      </c>
      <c r="B447" s="31" t="inlineStr">
        <is>
          <t>http://www.indysoft.co.th</t>
        </is>
      </c>
      <c r="C447" s="2" t="inlineStr">
        <is>
          <t>ธุรกิจ</t>
        </is>
      </c>
      <c r="D447" s="10">
        <f>F447/71</f>
        <v/>
      </c>
      <c r="E447" s="11">
        <f>IF(D447&gt;=0.9,"ดีเยี่ยม",IF(D447&gt;=0.7,"ดี",IF(D447&gt;=0.5,"พอใช้","ต้องปรับปรุง")))</f>
        <v/>
      </c>
      <c r="F447" s="6">
        <f>J447+N447+R447+V447</f>
        <v/>
      </c>
      <c r="G447" s="6">
        <f>K447+O447+S447+W447</f>
        <v/>
      </c>
      <c r="H447" s="6">
        <f>L447+P447+T447+X447</f>
        <v/>
      </c>
      <c r="I447" s="7">
        <f>J447/37</f>
        <v/>
      </c>
      <c r="J447" s="6" t="n">
        <v>35</v>
      </c>
      <c r="K447" s="6" t="n">
        <v>0</v>
      </c>
      <c r="L447" s="6" t="n">
        <v>2</v>
      </c>
      <c r="M447" s="7">
        <f>N447/9</f>
        <v/>
      </c>
      <c r="N447" s="6" t="n">
        <v>7</v>
      </c>
      <c r="O447" s="6" t="n">
        <v>2</v>
      </c>
      <c r="P447" s="6" t="n">
        <v>0</v>
      </c>
      <c r="Q447" s="7">
        <f>R447/11</f>
        <v/>
      </c>
      <c r="R447" s="6" t="n">
        <v>3</v>
      </c>
      <c r="S447" s="6" t="n">
        <v>3</v>
      </c>
      <c r="T447" s="6" t="n">
        <v>5</v>
      </c>
      <c r="U447" s="7">
        <f>V447/14</f>
        <v/>
      </c>
      <c r="V447" s="6" t="n">
        <v>2</v>
      </c>
      <c r="W447" s="6" t="n">
        <v>12</v>
      </c>
      <c r="X447" s="6" t="n">
        <v>0</v>
      </c>
      <c r="Y447" s="8" t="n">
        <v>54.99</v>
      </c>
      <c r="Z447" s="9" t="inlineStr">
        <is>
          <t>Success</t>
        </is>
      </c>
      <c r="AA447" s="2" t="inlineStr">
        <is>
          <t>2026-10-08 22:27:08</t>
        </is>
      </c>
    </row>
    <row r="448" ht="21.95" customHeight="1">
      <c r="A448" s="2" t="n">
        <v>447</v>
      </c>
      <c r="B448" s="31" t="inlineStr">
        <is>
          <t>http://www.trip.in.th</t>
        </is>
      </c>
      <c r="C448" s="2" t="inlineStr">
        <is>
          <t>อินเทอร์เน็ต</t>
        </is>
      </c>
      <c r="D448" s="25">
        <f>F448/71</f>
        <v/>
      </c>
      <c r="E448" s="26">
        <f>IF(D448&gt;=0.9,"ดีเยี่ยม",IF(D448&gt;=0.7,"ดี",IF(D448&gt;=0.5,"พอใช้","ต้องปรับปรุง")))</f>
        <v/>
      </c>
      <c r="F448" s="6">
        <f>J448+N448+R448+V448</f>
        <v/>
      </c>
      <c r="G448" s="6">
        <f>K448+O448+S448+W448</f>
        <v/>
      </c>
      <c r="H448" s="6">
        <f>L448+P448+T448+X448</f>
        <v/>
      </c>
      <c r="I448" s="7">
        <f>J448/37</f>
        <v/>
      </c>
      <c r="J448" s="6" t="n">
        <v>0</v>
      </c>
      <c r="K448" s="6" t="n">
        <v>37</v>
      </c>
      <c r="L448" s="6" t="n">
        <v>0</v>
      </c>
      <c r="M448" s="7">
        <f>N448/9</f>
        <v/>
      </c>
      <c r="N448" s="6" t="n">
        <v>0</v>
      </c>
      <c r="O448" s="6" t="n">
        <v>9</v>
      </c>
      <c r="P448" s="6" t="n">
        <v>0</v>
      </c>
      <c r="Q448" s="7">
        <f>R448/11</f>
        <v/>
      </c>
      <c r="R448" s="6" t="n">
        <v>0</v>
      </c>
      <c r="S448" s="6" t="n">
        <v>11</v>
      </c>
      <c r="T448" s="6" t="n">
        <v>0</v>
      </c>
      <c r="U448" s="7">
        <f>V448/14</f>
        <v/>
      </c>
      <c r="V448" s="6" t="n">
        <v>0</v>
      </c>
      <c r="W448" s="6" t="n">
        <v>14</v>
      </c>
      <c r="X448" s="6" t="n">
        <v>0</v>
      </c>
      <c r="Y448" s="8" t="n">
        <v>1.77</v>
      </c>
      <c r="Z448" s="27" t="inlineStr">
        <is>
          <t>Failed (DNS Error (หาเว็บไม่เจอ))</t>
        </is>
      </c>
      <c r="AA448" s="2" t="inlineStr">
        <is>
          <t>2026-10-21 00:13:37</t>
        </is>
      </c>
    </row>
    <row r="449" ht="21.95" customHeight="1">
      <c r="A449" s="2" t="n">
        <v>448</v>
      </c>
      <c r="B449" s="31" t="inlineStr">
        <is>
          <t>http://www.zuzaa.com</t>
        </is>
      </c>
      <c r="C449" s="2" t="inlineStr">
        <is>
          <t>บันเทิงสำหรับผู้ใหญ่</t>
        </is>
      </c>
      <c r="D449" s="10">
        <f>F449/71</f>
        <v/>
      </c>
      <c r="E449" s="11">
        <f>IF(D449&gt;=0.9,"ดีเยี่ยม",IF(D449&gt;=0.7,"ดี",IF(D449&gt;=0.5,"พอใช้","ต้องปรับปรุง")))</f>
        <v/>
      </c>
      <c r="F449" s="6">
        <f>J449+N449+R449+V449</f>
        <v/>
      </c>
      <c r="G449" s="6">
        <f>K449+O449+S449+W449</f>
        <v/>
      </c>
      <c r="H449" s="6">
        <f>L449+P449+T449+X449</f>
        <v/>
      </c>
      <c r="I449" s="7">
        <f>J449/37</f>
        <v/>
      </c>
      <c r="J449" s="6" t="n">
        <v>36</v>
      </c>
      <c r="K449" s="6" t="n">
        <v>0</v>
      </c>
      <c r="L449" s="6" t="n">
        <v>1</v>
      </c>
      <c r="M449" s="7">
        <f>N449/9</f>
        <v/>
      </c>
      <c r="N449" s="6" t="n">
        <v>6</v>
      </c>
      <c r="O449" s="6" t="n">
        <v>3</v>
      </c>
      <c r="P449" s="6" t="n">
        <v>0</v>
      </c>
      <c r="Q449" s="7">
        <f>R449/11</f>
        <v/>
      </c>
      <c r="R449" s="6" t="n">
        <v>3</v>
      </c>
      <c r="S449" s="6" t="n">
        <v>3</v>
      </c>
      <c r="T449" s="6" t="n">
        <v>5</v>
      </c>
      <c r="U449" s="7">
        <f>V449/14</f>
        <v/>
      </c>
      <c r="V449" s="6" t="n">
        <v>2</v>
      </c>
      <c r="W449" s="6" t="n">
        <v>12</v>
      </c>
      <c r="X449" s="6" t="n">
        <v>0</v>
      </c>
      <c r="Y449" s="8" t="n">
        <v>41.03</v>
      </c>
      <c r="Z449" s="9" t="inlineStr">
        <is>
          <t>Success</t>
        </is>
      </c>
      <c r="AA449" s="2" t="inlineStr">
        <is>
          <t>2026-10-08 22:28:26</t>
        </is>
      </c>
    </row>
    <row r="450" ht="21.95" customHeight="1">
      <c r="A450" s="2" t="n">
        <v>449</v>
      </c>
      <c r="B450" s="31" t="inlineStr">
        <is>
          <t>http://65.108.109.74</t>
        </is>
      </c>
      <c r="C450" s="2" t="inlineStr">
        <is>
          <t>ธุรกิจ</t>
        </is>
      </c>
      <c r="D450" s="25">
        <f>F450/71</f>
        <v/>
      </c>
      <c r="E450" s="26">
        <f>IF(D450&gt;=0.9,"ดีเยี่ยม",IF(D450&gt;=0.7,"ดี",IF(D450&gt;=0.5,"พอใช้","ต้องปรับปรุง")))</f>
        <v/>
      </c>
      <c r="F450" s="6">
        <f>J450+N450+R450+V450</f>
        <v/>
      </c>
      <c r="G450" s="6">
        <f>K450+O450+S450+W450</f>
        <v/>
      </c>
      <c r="H450" s="6">
        <f>L450+P450+T450+X450</f>
        <v/>
      </c>
      <c r="I450" s="7">
        <f>J450/37</f>
        <v/>
      </c>
      <c r="J450" s="6" t="n">
        <v>0</v>
      </c>
      <c r="K450" s="6" t="n">
        <v>37</v>
      </c>
      <c r="L450" s="6" t="n">
        <v>0</v>
      </c>
      <c r="M450" s="7">
        <f>N450/9</f>
        <v/>
      </c>
      <c r="N450" s="6" t="n">
        <v>0</v>
      </c>
      <c r="O450" s="6" t="n">
        <v>9</v>
      </c>
      <c r="P450" s="6" t="n">
        <v>0</v>
      </c>
      <c r="Q450" s="7">
        <f>R450/11</f>
        <v/>
      </c>
      <c r="R450" s="6" t="n">
        <v>0</v>
      </c>
      <c r="S450" s="6" t="n">
        <v>11</v>
      </c>
      <c r="T450" s="6" t="n">
        <v>0</v>
      </c>
      <c r="U450" s="7">
        <f>V450/14</f>
        <v/>
      </c>
      <c r="V450" s="6" t="n">
        <v>0</v>
      </c>
      <c r="W450" s="6" t="n">
        <v>14</v>
      </c>
      <c r="X450" s="6" t="n">
        <v>0</v>
      </c>
      <c r="Y450" s="8" t="n">
        <v>24.04</v>
      </c>
      <c r="Z450" s="27" t="inlineStr">
        <is>
          <t>Failed (Timeout (เว็บไม่ตอบ))</t>
        </is>
      </c>
      <c r="AA450" s="2" t="inlineStr">
        <is>
          <t>2026-10-21 00:13:37</t>
        </is>
      </c>
    </row>
    <row r="451" ht="21.95" customHeight="1">
      <c r="A451" s="2" t="n">
        <v>450</v>
      </c>
      <c r="B451" s="31" t="inlineStr">
        <is>
          <t>http://www.fhm.in.th</t>
        </is>
      </c>
      <c r="C451" s="2" t="inlineStr">
        <is>
          <t>ข่าว-สื่อ</t>
        </is>
      </c>
      <c r="D451" s="10">
        <f>F451/71</f>
        <v/>
      </c>
      <c r="E451" s="11">
        <f>IF(D451&gt;=0.9,"ดีเยี่ยม",IF(D451&gt;=0.7,"ดี",IF(D451&gt;=0.5,"พอใช้","ต้องปรับปรุง")))</f>
        <v/>
      </c>
      <c r="F451" s="6">
        <f>J451+N451+R451+V451</f>
        <v/>
      </c>
      <c r="G451" s="6">
        <f>K451+O451+S451+W451</f>
        <v/>
      </c>
      <c r="H451" s="6">
        <f>L451+P451+T451+X451</f>
        <v/>
      </c>
      <c r="I451" s="7">
        <f>J451/37</f>
        <v/>
      </c>
      <c r="J451" s="6" t="n">
        <v>35</v>
      </c>
      <c r="K451" s="6" t="n">
        <v>2</v>
      </c>
      <c r="L451" s="6" t="n">
        <v>0</v>
      </c>
      <c r="M451" s="7">
        <f>N451/9</f>
        <v/>
      </c>
      <c r="N451" s="6" t="n">
        <v>8</v>
      </c>
      <c r="O451" s="6" t="n">
        <v>1</v>
      </c>
      <c r="P451" s="6" t="n">
        <v>0</v>
      </c>
      <c r="Q451" s="7">
        <f>R451/11</f>
        <v/>
      </c>
      <c r="R451" s="6" t="n">
        <v>3</v>
      </c>
      <c r="S451" s="6" t="n">
        <v>3</v>
      </c>
      <c r="T451" s="6" t="n">
        <v>5</v>
      </c>
      <c r="U451" s="7">
        <f>V451/14</f>
        <v/>
      </c>
      <c r="V451" s="6" t="n">
        <v>2</v>
      </c>
      <c r="W451" s="6" t="n">
        <v>12</v>
      </c>
      <c r="X451" s="6" t="n">
        <v>0</v>
      </c>
      <c r="Y451" s="8" t="n">
        <v>40.59</v>
      </c>
      <c r="Z451" s="9" t="inlineStr">
        <is>
          <t>Success</t>
        </is>
      </c>
      <c r="AA451" s="2" t="inlineStr">
        <is>
          <t>2026-10-08 22:30:18</t>
        </is>
      </c>
    </row>
    <row r="452" ht="21.95" customHeight="1">
      <c r="A452" s="2" t="n">
        <v>451</v>
      </c>
      <c r="B452" s="31" t="inlineStr">
        <is>
          <t>http://thai-toku.com</t>
        </is>
      </c>
      <c r="C452" s="2" t="inlineStr">
        <is>
          <t>บันเทิง</t>
        </is>
      </c>
      <c r="D452" s="25">
        <f>F452/71</f>
        <v/>
      </c>
      <c r="E452" s="26">
        <f>IF(D452&gt;=0.9,"ดีเยี่ยม",IF(D452&gt;=0.7,"ดี",IF(D452&gt;=0.5,"พอใช้","ต้องปรับปรุง")))</f>
        <v/>
      </c>
      <c r="F452" s="6">
        <f>J452+N452+R452+V452</f>
        <v/>
      </c>
      <c r="G452" s="6">
        <f>K452+O452+S452+W452</f>
        <v/>
      </c>
      <c r="H452" s="6">
        <f>L452+P452+T452+X452</f>
        <v/>
      </c>
      <c r="I452" s="7">
        <f>J452/37</f>
        <v/>
      </c>
      <c r="J452" s="6" t="n">
        <v>0</v>
      </c>
      <c r="K452" s="6" t="n">
        <v>37</v>
      </c>
      <c r="L452" s="6" t="n">
        <v>0</v>
      </c>
      <c r="M452" s="7">
        <f>N452/9</f>
        <v/>
      </c>
      <c r="N452" s="6" t="n">
        <v>0</v>
      </c>
      <c r="O452" s="6" t="n">
        <v>9</v>
      </c>
      <c r="P452" s="6" t="n">
        <v>0</v>
      </c>
      <c r="Q452" s="7">
        <f>R452/11</f>
        <v/>
      </c>
      <c r="R452" s="6" t="n">
        <v>0</v>
      </c>
      <c r="S452" s="6" t="n">
        <v>11</v>
      </c>
      <c r="T452" s="6" t="n">
        <v>0</v>
      </c>
      <c r="U452" s="7">
        <f>V452/14</f>
        <v/>
      </c>
      <c r="V452" s="6" t="n">
        <v>0</v>
      </c>
      <c r="W452" s="6" t="n">
        <v>14</v>
      </c>
      <c r="X452" s="6" t="n">
        <v>0</v>
      </c>
      <c r="Y452" s="8" t="n">
        <v>2.6</v>
      </c>
      <c r="Z452" s="27" t="inlineStr">
        <is>
          <t>Failed (DNS Error (หาเว็บไม่เจอ))</t>
        </is>
      </c>
      <c r="AA452" s="2" t="inlineStr">
        <is>
          <t>2026-10-21 00:13:37</t>
        </is>
      </c>
    </row>
    <row r="453" ht="21.95" customHeight="1">
      <c r="A453" s="2" t="n">
        <v>452</v>
      </c>
      <c r="B453" s="31" t="inlineStr">
        <is>
          <t>http://www.bigbrotherthailand.com</t>
        </is>
      </c>
      <c r="C453" s="2" t="inlineStr">
        <is>
          <t>บันเทิง</t>
        </is>
      </c>
      <c r="D453" s="25">
        <f>F453/71</f>
        <v/>
      </c>
      <c r="E453" s="26">
        <f>IF(D453&gt;=0.9,"ดีเยี่ยม",IF(D453&gt;=0.7,"ดี",IF(D453&gt;=0.5,"พอใช้","ต้องปรับปรุง")))</f>
        <v/>
      </c>
      <c r="F453" s="6">
        <f>J453+N453+R453+V453</f>
        <v/>
      </c>
      <c r="G453" s="6">
        <f>K453+O453+S453+W453</f>
        <v/>
      </c>
      <c r="H453" s="6">
        <f>L453+P453+T453+X453</f>
        <v/>
      </c>
      <c r="I453" s="7">
        <f>J453/37</f>
        <v/>
      </c>
      <c r="J453" s="6" t="n">
        <v>0</v>
      </c>
      <c r="K453" s="6" t="n">
        <v>37</v>
      </c>
      <c r="L453" s="6" t="n">
        <v>0</v>
      </c>
      <c r="M453" s="7">
        <f>N453/9</f>
        <v/>
      </c>
      <c r="N453" s="6" t="n">
        <v>0</v>
      </c>
      <c r="O453" s="6" t="n">
        <v>9</v>
      </c>
      <c r="P453" s="6" t="n">
        <v>0</v>
      </c>
      <c r="Q453" s="7">
        <f>R453/11</f>
        <v/>
      </c>
      <c r="R453" s="6" t="n">
        <v>0</v>
      </c>
      <c r="S453" s="6" t="n">
        <v>11</v>
      </c>
      <c r="T453" s="6" t="n">
        <v>0</v>
      </c>
      <c r="U453" s="7">
        <f>V453/14</f>
        <v/>
      </c>
      <c r="V453" s="6" t="n">
        <v>0</v>
      </c>
      <c r="W453" s="6" t="n">
        <v>14</v>
      </c>
      <c r="X453" s="6" t="n">
        <v>0</v>
      </c>
      <c r="Y453" s="8" t="n">
        <v>1.66</v>
      </c>
      <c r="Z453" s="27" t="inlineStr">
        <is>
          <t>Failed (หน้าพักโดเมน / โดเมนหมดอายุ)</t>
        </is>
      </c>
      <c r="AA453" s="2" t="inlineStr">
        <is>
          <t>2026-10-21 00:13:37</t>
        </is>
      </c>
    </row>
    <row r="454" ht="21.95" customHeight="1">
      <c r="A454" s="2" t="n">
        <v>453</v>
      </c>
      <c r="B454" s="31" t="inlineStr">
        <is>
          <t>http://region7.prd.go.th</t>
        </is>
      </c>
      <c r="C454" s="2" t="inlineStr">
        <is>
          <t>หน่วยงานราชการ,องค์กร</t>
        </is>
      </c>
      <c r="D454" s="10">
        <f>F454/71</f>
        <v/>
      </c>
      <c r="E454" s="11">
        <f>IF(D454&gt;=0.9,"ดีเยี่ยม",IF(D454&gt;=0.7,"ดี",IF(D454&gt;=0.5,"พอใช้","ต้องปรับปรุง")))</f>
        <v/>
      </c>
      <c r="F454" s="6">
        <f>J454+N454+R454+V454</f>
        <v/>
      </c>
      <c r="G454" s="6">
        <f>K454+O454+S454+W454</f>
        <v/>
      </c>
      <c r="H454" s="6">
        <f>L454+P454+T454+X454</f>
        <v/>
      </c>
      <c r="I454" s="7">
        <f>J454/37</f>
        <v/>
      </c>
      <c r="J454" s="6" t="n">
        <v>34</v>
      </c>
      <c r="K454" s="6" t="n">
        <v>3</v>
      </c>
      <c r="L454" s="6" t="n">
        <v>0</v>
      </c>
      <c r="M454" s="7">
        <f>N454/9</f>
        <v/>
      </c>
      <c r="N454" s="6" t="n">
        <v>7</v>
      </c>
      <c r="O454" s="6" t="n">
        <v>2</v>
      </c>
      <c r="P454" s="6" t="n">
        <v>0</v>
      </c>
      <c r="Q454" s="7">
        <f>R454/11</f>
        <v/>
      </c>
      <c r="R454" s="6" t="n">
        <v>4</v>
      </c>
      <c r="S454" s="6" t="n">
        <v>2</v>
      </c>
      <c r="T454" s="6" t="n">
        <v>5</v>
      </c>
      <c r="U454" s="7">
        <f>V454/14</f>
        <v/>
      </c>
      <c r="V454" s="6" t="n">
        <v>4</v>
      </c>
      <c r="W454" s="6" t="n">
        <v>9</v>
      </c>
      <c r="X454" s="6" t="n">
        <v>1</v>
      </c>
      <c r="Y454" s="8" t="n">
        <v>35.51</v>
      </c>
      <c r="Z454" s="9" t="inlineStr">
        <is>
          <t>Success</t>
        </is>
      </c>
      <c r="AA454" s="2" t="inlineStr">
        <is>
          <t>2026-10-08 22:32:17</t>
        </is>
      </c>
    </row>
    <row r="455" ht="21.95" customHeight="1">
      <c r="A455" s="2" t="n">
        <v>454</v>
      </c>
      <c r="B455" s="31" t="inlineStr">
        <is>
          <t>http://www.rubberthai.com</t>
        </is>
      </c>
      <c r="C455" s="2" t="inlineStr">
        <is>
          <t>หน่วยงานราชการ,องค์กร</t>
        </is>
      </c>
      <c r="D455" s="10">
        <f>F455/71</f>
        <v/>
      </c>
      <c r="E455" s="11">
        <f>IF(D455&gt;=0.9,"ดีเยี่ยม",IF(D455&gt;=0.7,"ดี",IF(D455&gt;=0.5,"พอใช้","ต้องปรับปรุง")))</f>
        <v/>
      </c>
      <c r="F455" s="6">
        <f>J455+N455+R455+V455</f>
        <v/>
      </c>
      <c r="G455" s="6">
        <f>K455+O455+S455+W455</f>
        <v/>
      </c>
      <c r="H455" s="6">
        <f>L455+P455+T455+X455</f>
        <v/>
      </c>
      <c r="I455" s="7">
        <f>J455/37</f>
        <v/>
      </c>
      <c r="J455" s="6" t="n">
        <v>32</v>
      </c>
      <c r="K455" s="6" t="n">
        <v>4</v>
      </c>
      <c r="L455" s="6" t="n">
        <v>1</v>
      </c>
      <c r="M455" s="7">
        <f>N455/9</f>
        <v/>
      </c>
      <c r="N455" s="6" t="n">
        <v>9</v>
      </c>
      <c r="O455" s="6" t="n">
        <v>0</v>
      </c>
      <c r="P455" s="6" t="n">
        <v>0</v>
      </c>
      <c r="Q455" s="7">
        <f>R455/11</f>
        <v/>
      </c>
      <c r="R455" s="6" t="n">
        <v>4</v>
      </c>
      <c r="S455" s="6" t="n">
        <v>4</v>
      </c>
      <c r="T455" s="6" t="n">
        <v>3</v>
      </c>
      <c r="U455" s="7">
        <f>V455/14</f>
        <v/>
      </c>
      <c r="V455" s="6" t="n">
        <v>1</v>
      </c>
      <c r="W455" s="6" t="n">
        <v>12</v>
      </c>
      <c r="X455" s="6" t="n">
        <v>1</v>
      </c>
      <c r="Y455" s="8" t="n">
        <v>60.69</v>
      </c>
      <c r="Z455" s="9" t="inlineStr">
        <is>
          <t>Success</t>
        </is>
      </c>
      <c r="AA455" s="2" t="inlineStr">
        <is>
          <t>2026-10-08 22:33:18</t>
        </is>
      </c>
    </row>
    <row r="456" ht="21.95" customHeight="1">
      <c r="A456" s="2" t="n">
        <v>455</v>
      </c>
      <c r="B456" s="31" t="inlineStr">
        <is>
          <t>http://www.mbachula.info</t>
        </is>
      </c>
      <c r="C456" s="2" t="inlineStr">
        <is>
          <t>การศึกษา</t>
        </is>
      </c>
      <c r="D456" s="10">
        <f>F456/71</f>
        <v/>
      </c>
      <c r="E456" s="11">
        <f>IF(D456&gt;=0.9,"ดีเยี่ยม",IF(D456&gt;=0.7,"ดี",IF(D456&gt;=0.5,"พอใช้","ต้องปรับปรุง")))</f>
        <v/>
      </c>
      <c r="F456" s="6">
        <f>J456+N456+R456+V456</f>
        <v/>
      </c>
      <c r="G456" s="6">
        <f>K456+O456+S456+W456</f>
        <v/>
      </c>
      <c r="H456" s="6">
        <f>L456+P456+T456+X456</f>
        <v/>
      </c>
      <c r="I456" s="7">
        <f>J456/37</f>
        <v/>
      </c>
      <c r="J456" s="6" t="n">
        <v>32</v>
      </c>
      <c r="K456" s="6" t="n">
        <v>4</v>
      </c>
      <c r="L456" s="6" t="n">
        <v>1</v>
      </c>
      <c r="M456" s="7">
        <f>N456/9</f>
        <v/>
      </c>
      <c r="N456" s="6" t="n">
        <v>9</v>
      </c>
      <c r="O456" s="6" t="n">
        <v>0</v>
      </c>
      <c r="P456" s="6" t="n">
        <v>0</v>
      </c>
      <c r="Q456" s="7">
        <f>R456/11</f>
        <v/>
      </c>
      <c r="R456" s="6" t="n">
        <v>4</v>
      </c>
      <c r="S456" s="6" t="n">
        <v>4</v>
      </c>
      <c r="T456" s="6" t="n">
        <v>3</v>
      </c>
      <c r="U456" s="7">
        <f>V456/14</f>
        <v/>
      </c>
      <c r="V456" s="6" t="n">
        <v>1</v>
      </c>
      <c r="W456" s="6" t="n">
        <v>12</v>
      </c>
      <c r="X456" s="6" t="n">
        <v>1</v>
      </c>
      <c r="Y456" s="8" t="n">
        <v>73.59999999999999</v>
      </c>
      <c r="Z456" s="9" t="inlineStr">
        <is>
          <t>Success</t>
        </is>
      </c>
      <c r="AA456" s="2" t="inlineStr">
        <is>
          <t>2026-10-08 22:34:31</t>
        </is>
      </c>
    </row>
    <row r="457" ht="21.95" customHeight="1">
      <c r="A457" s="2" t="n">
        <v>456</v>
      </c>
      <c r="B457" s="31" t="inlineStr">
        <is>
          <t>http://www.tourinthai.com</t>
        </is>
      </c>
      <c r="C457" s="2" t="inlineStr">
        <is>
          <t>ท่องเที่ยว</t>
        </is>
      </c>
      <c r="D457" s="4">
        <f>F457/71</f>
        <v/>
      </c>
      <c r="E457" s="5">
        <f>IF(D457&gt;=0.9,"ดีเยี่ยม",IF(D457&gt;=0.7,"ดี",IF(D457&gt;=0.5,"พอใช้","ต้องปรับปรุง")))</f>
        <v/>
      </c>
      <c r="F457" s="6">
        <f>J457+N457+R457+V457</f>
        <v/>
      </c>
      <c r="G457" s="6">
        <f>K457+O457+S457+W457</f>
        <v/>
      </c>
      <c r="H457" s="6">
        <f>L457+P457+T457+X457</f>
        <v/>
      </c>
      <c r="I457" s="7">
        <f>J457/37</f>
        <v/>
      </c>
      <c r="J457" s="6" t="n">
        <v>36</v>
      </c>
      <c r="K457" s="6" t="n">
        <v>1</v>
      </c>
      <c r="L457" s="6" t="n">
        <v>0</v>
      </c>
      <c r="M457" s="7">
        <f>N457/9</f>
        <v/>
      </c>
      <c r="N457" s="6" t="n">
        <v>9</v>
      </c>
      <c r="O457" s="6" t="n">
        <v>0</v>
      </c>
      <c r="P457" s="6" t="n">
        <v>0</v>
      </c>
      <c r="Q457" s="7">
        <f>R457/11</f>
        <v/>
      </c>
      <c r="R457" s="6" t="n">
        <v>5</v>
      </c>
      <c r="S457" s="6" t="n">
        <v>3</v>
      </c>
      <c r="T457" s="6" t="n">
        <v>3</v>
      </c>
      <c r="U457" s="7">
        <f>V457/14</f>
        <v/>
      </c>
      <c r="V457" s="6" t="n">
        <v>2</v>
      </c>
      <c r="W457" s="6" t="n">
        <v>12</v>
      </c>
      <c r="X457" s="6" t="n">
        <v>0</v>
      </c>
      <c r="Y457" s="8" t="n">
        <v>48.73</v>
      </c>
      <c r="Z457" s="9" t="inlineStr">
        <is>
          <t>Success</t>
        </is>
      </c>
      <c r="AA457" s="2" t="inlineStr">
        <is>
          <t>2026-10-09 12:42:35</t>
        </is>
      </c>
    </row>
    <row r="458" ht="21.95" customHeight="1">
      <c r="A458" s="2" t="n">
        <v>457</v>
      </c>
      <c r="B458" s="31" t="inlineStr">
        <is>
          <t>http://www.barcodethai.com</t>
        </is>
      </c>
      <c r="C458" s="2" t="inlineStr">
        <is>
          <t>คอมพิวเตอร์</t>
        </is>
      </c>
      <c r="D458" s="10">
        <f>F458/71</f>
        <v/>
      </c>
      <c r="E458" s="11">
        <f>IF(D458&gt;=0.9,"ดีเยี่ยม",IF(D458&gt;=0.7,"ดี",IF(D458&gt;=0.5,"พอใช้","ต้องปรับปรุง")))</f>
        <v/>
      </c>
      <c r="F458" s="6">
        <f>J458+N458+R458+V458</f>
        <v/>
      </c>
      <c r="G458" s="6">
        <f>K458+O458+S458+W458</f>
        <v/>
      </c>
      <c r="H458" s="6">
        <f>L458+P458+T458+X458</f>
        <v/>
      </c>
      <c r="I458" s="7">
        <f>J458/37</f>
        <v/>
      </c>
      <c r="J458" s="6" t="n">
        <v>34</v>
      </c>
      <c r="K458" s="6" t="n">
        <v>2</v>
      </c>
      <c r="L458" s="6" t="n">
        <v>1</v>
      </c>
      <c r="M458" s="7">
        <f>N458/9</f>
        <v/>
      </c>
      <c r="N458" s="6" t="n">
        <v>7</v>
      </c>
      <c r="O458" s="6" t="n">
        <v>2</v>
      </c>
      <c r="P458" s="6" t="n">
        <v>0</v>
      </c>
      <c r="Q458" s="7">
        <f>R458/11</f>
        <v/>
      </c>
      <c r="R458" s="6" t="n">
        <v>3</v>
      </c>
      <c r="S458" s="6" t="n">
        <v>3</v>
      </c>
      <c r="T458" s="6" t="n">
        <v>5</v>
      </c>
      <c r="U458" s="7">
        <f>V458/14</f>
        <v/>
      </c>
      <c r="V458" s="6" t="n">
        <v>3</v>
      </c>
      <c r="W458" s="6" t="n">
        <v>11</v>
      </c>
      <c r="X458" s="6" t="n">
        <v>0</v>
      </c>
      <c r="Y458" s="8" t="n">
        <v>45.84</v>
      </c>
      <c r="Z458" s="9" t="inlineStr">
        <is>
          <t>Success</t>
        </is>
      </c>
      <c r="AA458" s="2" t="inlineStr">
        <is>
          <t>2026-10-08 22:36:07</t>
        </is>
      </c>
    </row>
    <row r="459" ht="21.95" customHeight="1">
      <c r="A459" s="2" t="n">
        <v>458</v>
      </c>
      <c r="B459" s="31" t="inlineStr">
        <is>
          <t>http://www.aromdee.com</t>
        </is>
      </c>
      <c r="C459" s="2" t="inlineStr">
        <is>
          <t>บันเทิง</t>
        </is>
      </c>
      <c r="D459" s="25">
        <f>F459/71</f>
        <v/>
      </c>
      <c r="E459" s="26">
        <f>IF(D459&gt;=0.9,"ดีเยี่ยม",IF(D459&gt;=0.7,"ดี",IF(D459&gt;=0.5,"พอใช้","ต้องปรับปรุง")))</f>
        <v/>
      </c>
      <c r="F459" s="6">
        <f>J459+N459+R459+V459</f>
        <v/>
      </c>
      <c r="G459" s="6">
        <f>K459+O459+S459+W459</f>
        <v/>
      </c>
      <c r="H459" s="6">
        <f>L459+P459+T459+X459</f>
        <v/>
      </c>
      <c r="I459" s="7">
        <f>J459/37</f>
        <v/>
      </c>
      <c r="J459" s="6" t="n">
        <v>0</v>
      </c>
      <c r="K459" s="6" t="n">
        <v>37</v>
      </c>
      <c r="L459" s="6" t="n">
        <v>0</v>
      </c>
      <c r="M459" s="7">
        <f>N459/9</f>
        <v/>
      </c>
      <c r="N459" s="6" t="n">
        <v>0</v>
      </c>
      <c r="O459" s="6" t="n">
        <v>9</v>
      </c>
      <c r="P459" s="6" t="n">
        <v>0</v>
      </c>
      <c r="Q459" s="7">
        <f>R459/11</f>
        <v/>
      </c>
      <c r="R459" s="6" t="n">
        <v>0</v>
      </c>
      <c r="S459" s="6" t="n">
        <v>11</v>
      </c>
      <c r="T459" s="6" t="n">
        <v>0</v>
      </c>
      <c r="U459" s="7">
        <f>V459/14</f>
        <v/>
      </c>
      <c r="V459" s="6" t="n">
        <v>0</v>
      </c>
      <c r="W459" s="6" t="n">
        <v>14</v>
      </c>
      <c r="X459" s="6" t="n">
        <v>0</v>
      </c>
      <c r="Y459" s="8" t="n">
        <v>1.02</v>
      </c>
      <c r="Z459" s="27" t="inlineStr">
        <is>
          <t>Failed (หน้า Error / ไม่มีเนื้อหา)</t>
        </is>
      </c>
      <c r="AA459" s="2" t="inlineStr">
        <is>
          <t>2026-10-21 00:13:37</t>
        </is>
      </c>
    </row>
    <row r="460" ht="21.95" customHeight="1">
      <c r="A460" s="2" t="n">
        <v>459</v>
      </c>
      <c r="B460" s="31" t="inlineStr">
        <is>
          <t>http://www.coit.co.th</t>
        </is>
      </c>
      <c r="C460" s="2" t="inlineStr">
        <is>
          <t>ธุรกิจ</t>
        </is>
      </c>
      <c r="D460" s="10">
        <f>F460/71</f>
        <v/>
      </c>
      <c r="E460" s="11">
        <f>IF(D460&gt;=0.9,"ดีเยี่ยม",IF(D460&gt;=0.7,"ดี",IF(D460&gt;=0.5,"พอใช้","ต้องปรับปรุง")))</f>
        <v/>
      </c>
      <c r="F460" s="6">
        <f>J460+N460+R460+V460</f>
        <v/>
      </c>
      <c r="G460" s="6">
        <f>K460+O460+S460+W460</f>
        <v/>
      </c>
      <c r="H460" s="6">
        <f>L460+P460+T460+X460</f>
        <v/>
      </c>
      <c r="I460" s="7">
        <f>J460/37</f>
        <v/>
      </c>
      <c r="J460" s="6" t="n">
        <v>32</v>
      </c>
      <c r="K460" s="6" t="n">
        <v>5</v>
      </c>
      <c r="L460" s="6" t="n">
        <v>0</v>
      </c>
      <c r="M460" s="7">
        <f>N460/9</f>
        <v/>
      </c>
      <c r="N460" s="6" t="n">
        <v>6</v>
      </c>
      <c r="O460" s="6" t="n">
        <v>3</v>
      </c>
      <c r="P460" s="6" t="n">
        <v>0</v>
      </c>
      <c r="Q460" s="7">
        <f>R460/11</f>
        <v/>
      </c>
      <c r="R460" s="6" t="n">
        <v>3</v>
      </c>
      <c r="S460" s="6" t="n">
        <v>3</v>
      </c>
      <c r="T460" s="6" t="n">
        <v>5</v>
      </c>
      <c r="U460" s="7">
        <f>V460/14</f>
        <v/>
      </c>
      <c r="V460" s="6" t="n">
        <v>2</v>
      </c>
      <c r="W460" s="6" t="n">
        <v>12</v>
      </c>
      <c r="X460" s="6" t="n">
        <v>0</v>
      </c>
      <c r="Y460" s="8" t="n">
        <v>37.92</v>
      </c>
      <c r="Z460" s="9" t="inlineStr">
        <is>
          <t>Success</t>
        </is>
      </c>
      <c r="AA460" s="2" t="inlineStr">
        <is>
          <t>2026-10-08 22:37:24</t>
        </is>
      </c>
    </row>
    <row r="461" ht="21.95" customHeight="1">
      <c r="A461" s="2" t="n">
        <v>460</v>
      </c>
      <c r="B461" s="31" t="inlineStr">
        <is>
          <t>http://www.rd.go.th/publish/5998.0.html</t>
        </is>
      </c>
      <c r="C461" s="2" t="inlineStr">
        <is>
          <t>หน่วยงานราชการ,องค์กร</t>
        </is>
      </c>
      <c r="D461" s="25">
        <f>F461/71</f>
        <v/>
      </c>
      <c r="E461" s="26">
        <f>IF(D461&gt;=0.9,"ดีเยี่ยม",IF(D461&gt;=0.7,"ดี",IF(D461&gt;=0.5,"พอใช้","ต้องปรับปรุง")))</f>
        <v/>
      </c>
      <c r="F461" s="6">
        <f>J461+N461+R461+V461</f>
        <v/>
      </c>
      <c r="G461" s="6">
        <f>K461+O461+S461+W461</f>
        <v/>
      </c>
      <c r="H461" s="6">
        <f>L461+P461+T461+X461</f>
        <v/>
      </c>
      <c r="I461" s="7">
        <f>J461/37</f>
        <v/>
      </c>
      <c r="J461" s="6" t="n">
        <v>0</v>
      </c>
      <c r="K461" s="6" t="n">
        <v>37</v>
      </c>
      <c r="L461" s="6" t="n">
        <v>0</v>
      </c>
      <c r="M461" s="7">
        <f>N461/9</f>
        <v/>
      </c>
      <c r="N461" s="6" t="n">
        <v>0</v>
      </c>
      <c r="O461" s="6" t="n">
        <v>9</v>
      </c>
      <c r="P461" s="6" t="n">
        <v>0</v>
      </c>
      <c r="Q461" s="7">
        <f>R461/11</f>
        <v/>
      </c>
      <c r="R461" s="6" t="n">
        <v>0</v>
      </c>
      <c r="S461" s="6" t="n">
        <v>11</v>
      </c>
      <c r="T461" s="6" t="n">
        <v>0</v>
      </c>
      <c r="U461" s="7">
        <f>V461/14</f>
        <v/>
      </c>
      <c r="V461" s="6" t="n">
        <v>0</v>
      </c>
      <c r="W461" s="6" t="n">
        <v>14</v>
      </c>
      <c r="X461" s="6" t="n">
        <v>0</v>
      </c>
      <c r="Y461" s="8" t="n">
        <v>10.22</v>
      </c>
      <c r="Z461" s="27" t="inlineStr">
        <is>
          <t>Failed (หน้า Error / ไม่มีเนื้อหา)</t>
        </is>
      </c>
      <c r="AA461" s="2" t="inlineStr">
        <is>
          <t>2026-10-21 00:13:37</t>
        </is>
      </c>
    </row>
    <row r="462" ht="21.95" customHeight="1">
      <c r="A462" s="2" t="n">
        <v>461</v>
      </c>
      <c r="B462" s="31" t="inlineStr">
        <is>
          <t>http://www.icygang.com</t>
        </is>
      </c>
      <c r="C462" s="2" t="inlineStr">
        <is>
          <t>บันเทิง</t>
        </is>
      </c>
      <c r="D462" s="4">
        <f>F462/71</f>
        <v/>
      </c>
      <c r="E462" s="5">
        <f>IF(D462&gt;=0.9,"ดีเยี่ยม",IF(D462&gt;=0.7,"ดี",IF(D462&gt;=0.5,"พอใช้","ต้องปรับปรุง")))</f>
        <v/>
      </c>
      <c r="F462" s="6">
        <f>J462+N462+R462+V462</f>
        <v/>
      </c>
      <c r="G462" s="6">
        <f>K462+O462+S462+W462</f>
        <v/>
      </c>
      <c r="H462" s="6">
        <f>L462+P462+T462+X462</f>
        <v/>
      </c>
      <c r="I462" s="7">
        <f>J462/37</f>
        <v/>
      </c>
      <c r="J462" s="6" t="n">
        <v>36</v>
      </c>
      <c r="K462" s="6" t="n">
        <v>1</v>
      </c>
      <c r="L462" s="6" t="n">
        <v>0</v>
      </c>
      <c r="M462" s="7">
        <f>N462/9</f>
        <v/>
      </c>
      <c r="N462" s="6" t="n">
        <v>8</v>
      </c>
      <c r="O462" s="6" t="n">
        <v>1</v>
      </c>
      <c r="P462" s="6" t="n">
        <v>0</v>
      </c>
      <c r="Q462" s="7">
        <f>R462/11</f>
        <v/>
      </c>
      <c r="R462" s="6" t="n">
        <v>4</v>
      </c>
      <c r="S462" s="6" t="n">
        <v>2</v>
      </c>
      <c r="T462" s="6" t="n">
        <v>5</v>
      </c>
      <c r="U462" s="7">
        <f>V462/14</f>
        <v/>
      </c>
      <c r="V462" s="6" t="n">
        <v>3</v>
      </c>
      <c r="W462" s="6" t="n">
        <v>11</v>
      </c>
      <c r="X462" s="6" t="n">
        <v>0</v>
      </c>
      <c r="Y462" s="8" t="n">
        <v>38.92</v>
      </c>
      <c r="Z462" s="9" t="inlineStr">
        <is>
          <t>Success</t>
        </is>
      </c>
      <c r="AA462" s="2" t="inlineStr">
        <is>
          <t>2026-10-08 22:38:59</t>
        </is>
      </c>
    </row>
    <row r="463" ht="21.95" customHeight="1">
      <c r="A463" s="2" t="n">
        <v>462</v>
      </c>
      <c r="B463" s="31" t="inlineStr">
        <is>
          <t>http://www.2ndshop.com</t>
        </is>
      </c>
      <c r="C463" s="2" t="inlineStr">
        <is>
          <t>ช๊อปปิ้ง</t>
        </is>
      </c>
      <c r="D463" s="25">
        <f>F463/71</f>
        <v/>
      </c>
      <c r="E463" s="26">
        <f>IF(D463&gt;=0.9,"ดีเยี่ยม",IF(D463&gt;=0.7,"ดี",IF(D463&gt;=0.5,"พอใช้","ต้องปรับปรุง")))</f>
        <v/>
      </c>
      <c r="F463" s="6">
        <f>J463+N463+R463+V463</f>
        <v/>
      </c>
      <c r="G463" s="6">
        <f>K463+O463+S463+W463</f>
        <v/>
      </c>
      <c r="H463" s="6">
        <f>L463+P463+T463+X463</f>
        <v/>
      </c>
      <c r="I463" s="7">
        <f>J463/37</f>
        <v/>
      </c>
      <c r="J463" s="6" t="n">
        <v>0</v>
      </c>
      <c r="K463" s="6" t="n">
        <v>37</v>
      </c>
      <c r="L463" s="6" t="n">
        <v>0</v>
      </c>
      <c r="M463" s="7">
        <f>N463/9</f>
        <v/>
      </c>
      <c r="N463" s="6" t="n">
        <v>0</v>
      </c>
      <c r="O463" s="6" t="n">
        <v>9</v>
      </c>
      <c r="P463" s="6" t="n">
        <v>0</v>
      </c>
      <c r="Q463" s="7">
        <f>R463/11</f>
        <v/>
      </c>
      <c r="R463" s="6" t="n">
        <v>0</v>
      </c>
      <c r="S463" s="6" t="n">
        <v>11</v>
      </c>
      <c r="T463" s="6" t="n">
        <v>0</v>
      </c>
      <c r="U463" s="7">
        <f>V463/14</f>
        <v/>
      </c>
      <c r="V463" s="6" t="n">
        <v>0</v>
      </c>
      <c r="W463" s="6" t="n">
        <v>14</v>
      </c>
      <c r="X463" s="6" t="n">
        <v>0</v>
      </c>
      <c r="Y463" s="8" t="n">
        <v>1.63</v>
      </c>
      <c r="Z463" s="27" t="inlineStr">
        <is>
          <t>Failed (หน้าพักโดเมน / โดเมนหมดอายุ)</t>
        </is>
      </c>
      <c r="AA463" s="2" t="inlineStr">
        <is>
          <t>2026-10-21 00:13:37</t>
        </is>
      </c>
    </row>
    <row r="464" ht="21.95" customHeight="1">
      <c r="A464" s="2" t="n">
        <v>463</v>
      </c>
      <c r="B464" s="31" t="inlineStr">
        <is>
          <t>http://www.thaicity.co.th</t>
        </is>
      </c>
      <c r="C464" s="2" t="inlineStr">
        <is>
          <t>ช๊อปปิ้ง</t>
        </is>
      </c>
      <c r="D464" s="10">
        <f>F464/71</f>
        <v/>
      </c>
      <c r="E464" s="11">
        <f>IF(D464&gt;=0.9,"ดีเยี่ยม",IF(D464&gt;=0.7,"ดี",IF(D464&gt;=0.5,"พอใช้","ต้องปรับปรุง")))</f>
        <v/>
      </c>
      <c r="F464" s="6">
        <f>J464+N464+R464+V464</f>
        <v/>
      </c>
      <c r="G464" s="6">
        <f>K464+O464+S464+W464</f>
        <v/>
      </c>
      <c r="H464" s="6">
        <f>L464+P464+T464+X464</f>
        <v/>
      </c>
      <c r="I464" s="7">
        <f>J464/37</f>
        <v/>
      </c>
      <c r="J464" s="6" t="n">
        <v>32</v>
      </c>
      <c r="K464" s="6" t="n">
        <v>3</v>
      </c>
      <c r="L464" s="6" t="n">
        <v>2</v>
      </c>
      <c r="M464" s="7">
        <f>N464/9</f>
        <v/>
      </c>
      <c r="N464" s="6" t="n">
        <v>7</v>
      </c>
      <c r="O464" s="6" t="n">
        <v>2</v>
      </c>
      <c r="P464" s="6" t="n">
        <v>0</v>
      </c>
      <c r="Q464" s="7">
        <f>R464/11</f>
        <v/>
      </c>
      <c r="R464" s="6" t="n">
        <v>3</v>
      </c>
      <c r="S464" s="6" t="n">
        <v>3</v>
      </c>
      <c r="T464" s="6" t="n">
        <v>5</v>
      </c>
      <c r="U464" s="7">
        <f>V464/14</f>
        <v/>
      </c>
      <c r="V464" s="6" t="n">
        <v>2</v>
      </c>
      <c r="W464" s="6" t="n">
        <v>12</v>
      </c>
      <c r="X464" s="6" t="n">
        <v>0</v>
      </c>
      <c r="Y464" s="8" t="n">
        <v>52.65</v>
      </c>
      <c r="Z464" s="9" t="inlineStr">
        <is>
          <t>Success</t>
        </is>
      </c>
      <c r="AA464" s="2" t="inlineStr">
        <is>
          <t>2026-10-08 22:40:28</t>
        </is>
      </c>
    </row>
    <row r="465" ht="21.95" customHeight="1">
      <c r="A465" s="2" t="n">
        <v>464</v>
      </c>
      <c r="B465" s="31" t="inlineStr">
        <is>
          <t>http://www.lakkai.com</t>
        </is>
      </c>
      <c r="C465" s="2" t="inlineStr">
        <is>
          <t>บันเทิง</t>
        </is>
      </c>
      <c r="D465" s="25">
        <f>F465/71</f>
        <v/>
      </c>
      <c r="E465" s="26">
        <f>IF(D465&gt;=0.9,"ดีเยี่ยม",IF(D465&gt;=0.7,"ดี",IF(D465&gt;=0.5,"พอใช้","ต้องปรับปรุง")))</f>
        <v/>
      </c>
      <c r="F465" s="6">
        <f>J465+N465+R465+V465</f>
        <v/>
      </c>
      <c r="G465" s="6">
        <f>K465+O465+S465+W465</f>
        <v/>
      </c>
      <c r="H465" s="6">
        <f>L465+P465+T465+X465</f>
        <v/>
      </c>
      <c r="I465" s="7">
        <f>J465/37</f>
        <v/>
      </c>
      <c r="J465" s="6" t="n">
        <v>0</v>
      </c>
      <c r="K465" s="6" t="n">
        <v>37</v>
      </c>
      <c r="L465" s="6" t="n">
        <v>0</v>
      </c>
      <c r="M465" s="7">
        <f>N465/9</f>
        <v/>
      </c>
      <c r="N465" s="6" t="n">
        <v>0</v>
      </c>
      <c r="O465" s="6" t="n">
        <v>9</v>
      </c>
      <c r="P465" s="6" t="n">
        <v>0</v>
      </c>
      <c r="Q465" s="7">
        <f>R465/11</f>
        <v/>
      </c>
      <c r="R465" s="6" t="n">
        <v>0</v>
      </c>
      <c r="S465" s="6" t="n">
        <v>11</v>
      </c>
      <c r="T465" s="6" t="n">
        <v>0</v>
      </c>
      <c r="U465" s="7">
        <f>V465/14</f>
        <v/>
      </c>
      <c r="V465" s="6" t="n">
        <v>0</v>
      </c>
      <c r="W465" s="6" t="n">
        <v>14</v>
      </c>
      <c r="X465" s="6" t="n">
        <v>0</v>
      </c>
      <c r="Y465" s="8" t="n">
        <v>0.28</v>
      </c>
      <c r="Z465" s="27" t="inlineStr">
        <is>
          <t>Failed (หน้าพักโดเมน / โดเมนหมดอายุ)</t>
        </is>
      </c>
      <c r="AA465" s="2" t="inlineStr">
        <is>
          <t>2026-10-21 00:13:37</t>
        </is>
      </c>
    </row>
    <row r="466" ht="21.95" customHeight="1">
      <c r="A466" s="2" t="n">
        <v>465</v>
      </c>
      <c r="B466" s="31" t="inlineStr">
        <is>
          <t>http://www.educationline.net</t>
        </is>
      </c>
      <c r="C466" s="2" t="inlineStr">
        <is>
          <t>การศึกษา</t>
        </is>
      </c>
      <c r="D466" s="25">
        <f>F466/71</f>
        <v/>
      </c>
      <c r="E466" s="26">
        <f>IF(D466&gt;=0.9,"ดีเยี่ยม",IF(D466&gt;=0.7,"ดี",IF(D466&gt;=0.5,"พอใช้","ต้องปรับปรุง")))</f>
        <v/>
      </c>
      <c r="F466" s="6">
        <f>J466+N466+R466+V466</f>
        <v/>
      </c>
      <c r="G466" s="6">
        <f>K466+O466+S466+W466</f>
        <v/>
      </c>
      <c r="H466" s="6">
        <f>L466+P466+T466+X466</f>
        <v/>
      </c>
      <c r="I466" s="7">
        <f>J466/37</f>
        <v/>
      </c>
      <c r="J466" s="6" t="n">
        <v>0</v>
      </c>
      <c r="K466" s="6" t="n">
        <v>37</v>
      </c>
      <c r="L466" s="6" t="n">
        <v>0</v>
      </c>
      <c r="M466" s="7">
        <f>N466/9</f>
        <v/>
      </c>
      <c r="N466" s="6" t="n">
        <v>0</v>
      </c>
      <c r="O466" s="6" t="n">
        <v>9</v>
      </c>
      <c r="P466" s="6" t="n">
        <v>0</v>
      </c>
      <c r="Q466" s="7">
        <f>R466/11</f>
        <v/>
      </c>
      <c r="R466" s="6" t="n">
        <v>0</v>
      </c>
      <c r="S466" s="6" t="n">
        <v>11</v>
      </c>
      <c r="T466" s="6" t="n">
        <v>0</v>
      </c>
      <c r="U466" s="7">
        <f>V466/14</f>
        <v/>
      </c>
      <c r="V466" s="6" t="n">
        <v>0</v>
      </c>
      <c r="W466" s="6" t="n">
        <v>14</v>
      </c>
      <c r="X466" s="6" t="n">
        <v>0</v>
      </c>
      <c r="Y466" s="8" t="n">
        <v>0.72</v>
      </c>
      <c r="Z466" s="27" t="inlineStr">
        <is>
          <t>Failed (การเชื่อมต่อล้มเหลว (อื่นๆ))</t>
        </is>
      </c>
      <c r="AA466" s="2" t="inlineStr">
        <is>
          <t>2026-10-21 00:13:37</t>
        </is>
      </c>
    </row>
    <row r="467" ht="21.95" customHeight="1">
      <c r="A467" s="2" t="n">
        <v>466</v>
      </c>
      <c r="B467" s="31" t="inlineStr">
        <is>
          <t>http://www.Friend-Ship.Net</t>
        </is>
      </c>
      <c r="C467" s="2" t="inlineStr">
        <is>
          <t>กีฬา</t>
        </is>
      </c>
      <c r="D467" s="25">
        <f>F467/71</f>
        <v/>
      </c>
      <c r="E467" s="26">
        <f>IF(D467&gt;=0.9,"ดีเยี่ยม",IF(D467&gt;=0.7,"ดี",IF(D467&gt;=0.5,"พอใช้","ต้องปรับปรุง")))</f>
        <v/>
      </c>
      <c r="F467" s="6">
        <f>J467+N467+R467+V467</f>
        <v/>
      </c>
      <c r="G467" s="6">
        <f>K467+O467+S467+W467</f>
        <v/>
      </c>
      <c r="H467" s="6">
        <f>L467+P467+T467+X467</f>
        <v/>
      </c>
      <c r="I467" s="7">
        <f>J467/37</f>
        <v/>
      </c>
      <c r="J467" s="6" t="n">
        <v>0</v>
      </c>
      <c r="K467" s="6" t="n">
        <v>37</v>
      </c>
      <c r="L467" s="6" t="n">
        <v>0</v>
      </c>
      <c r="M467" s="7">
        <f>N467/9</f>
        <v/>
      </c>
      <c r="N467" s="6" t="n">
        <v>0</v>
      </c>
      <c r="O467" s="6" t="n">
        <v>9</v>
      </c>
      <c r="P467" s="6" t="n">
        <v>0</v>
      </c>
      <c r="Q467" s="7">
        <f>R467/11</f>
        <v/>
      </c>
      <c r="R467" s="6" t="n">
        <v>0</v>
      </c>
      <c r="S467" s="6" t="n">
        <v>11</v>
      </c>
      <c r="T467" s="6" t="n">
        <v>0</v>
      </c>
      <c r="U467" s="7">
        <f>V467/14</f>
        <v/>
      </c>
      <c r="V467" s="6" t="n">
        <v>0</v>
      </c>
      <c r="W467" s="6" t="n">
        <v>14</v>
      </c>
      <c r="X467" s="6" t="n">
        <v>0</v>
      </c>
      <c r="Y467" s="8" t="n">
        <v>4.94</v>
      </c>
      <c r="Z467" s="27" t="inlineStr">
        <is>
          <t>Failed (โดนบล็อก / เข้าถึงไม่ได้ (HTTP 403))</t>
        </is>
      </c>
      <c r="AA467" s="2" t="inlineStr">
        <is>
          <t>2026-10-21 00:13:37</t>
        </is>
      </c>
    </row>
    <row r="468" ht="21.95" customHeight="1">
      <c r="A468" s="2" t="n">
        <v>467</v>
      </c>
      <c r="B468" s="31" t="inlineStr">
        <is>
          <t>http://www.squidbrand.com</t>
        </is>
      </c>
      <c r="C468" s="2" t="inlineStr">
        <is>
          <t>ช๊อปปิ้ง</t>
        </is>
      </c>
      <c r="D468" s="10">
        <f>F468/71</f>
        <v/>
      </c>
      <c r="E468" s="11">
        <f>IF(D468&gt;=0.9,"ดีเยี่ยม",IF(D468&gt;=0.7,"ดี",IF(D468&gt;=0.5,"พอใช้","ต้องปรับปรุง")))</f>
        <v/>
      </c>
      <c r="F468" s="6">
        <f>J468+N468+R468+V468</f>
        <v/>
      </c>
      <c r="G468" s="6">
        <f>K468+O468+S468+W468</f>
        <v/>
      </c>
      <c r="H468" s="6">
        <f>L468+P468+T468+X468</f>
        <v/>
      </c>
      <c r="I468" s="7">
        <f>J468/37</f>
        <v/>
      </c>
      <c r="J468" s="6" t="n">
        <v>35</v>
      </c>
      <c r="K468" s="6" t="n">
        <v>1</v>
      </c>
      <c r="L468" s="6" t="n">
        <v>1</v>
      </c>
      <c r="M468" s="7">
        <f>N468/9</f>
        <v/>
      </c>
      <c r="N468" s="6" t="n">
        <v>6</v>
      </c>
      <c r="O468" s="6" t="n">
        <v>3</v>
      </c>
      <c r="P468" s="6" t="n">
        <v>0</v>
      </c>
      <c r="Q468" s="7">
        <f>R468/11</f>
        <v/>
      </c>
      <c r="R468" s="6" t="n">
        <v>3</v>
      </c>
      <c r="S468" s="6" t="n">
        <v>3</v>
      </c>
      <c r="T468" s="6" t="n">
        <v>5</v>
      </c>
      <c r="U468" s="7">
        <f>V468/14</f>
        <v/>
      </c>
      <c r="V468" s="6" t="n">
        <v>2</v>
      </c>
      <c r="W468" s="6" t="n">
        <v>12</v>
      </c>
      <c r="X468" s="6" t="n">
        <v>0</v>
      </c>
      <c r="Y468" s="8" t="n">
        <v>40.99</v>
      </c>
      <c r="Z468" s="9" t="inlineStr">
        <is>
          <t>Success</t>
        </is>
      </c>
      <c r="AA468" s="2" t="inlineStr">
        <is>
          <t>2026-10-08 22:42:57</t>
        </is>
      </c>
    </row>
    <row r="469" ht="21.95" customHeight="1">
      <c r="A469" s="2" t="n">
        <v>468</v>
      </c>
      <c r="B469" s="31" t="inlineStr">
        <is>
          <t>http://www.tops.co.th</t>
        </is>
      </c>
      <c r="C469" s="2" t="inlineStr">
        <is>
          <t>ช๊อปปิ้ง</t>
        </is>
      </c>
      <c r="D469" s="4">
        <f>F469/71</f>
        <v/>
      </c>
      <c r="E469" s="5">
        <f>IF(D469&gt;=0.9,"ดีเยี่ยม",IF(D469&gt;=0.7,"ดี",IF(D469&gt;=0.5,"พอใช้","ต้องปรับปรุง")))</f>
        <v/>
      </c>
      <c r="F469" s="6">
        <f>J469+N469+R469+V469</f>
        <v/>
      </c>
      <c r="G469" s="6">
        <f>K469+O469+S469+W469</f>
        <v/>
      </c>
      <c r="H469" s="6">
        <f>L469+P469+T469+X469</f>
        <v/>
      </c>
      <c r="I469" s="7">
        <f>J469/37</f>
        <v/>
      </c>
      <c r="J469" s="6" t="n">
        <v>37</v>
      </c>
      <c r="K469" s="6" t="n">
        <v>0</v>
      </c>
      <c r="L469" s="6" t="n">
        <v>0</v>
      </c>
      <c r="M469" s="7">
        <f>N469/9</f>
        <v/>
      </c>
      <c r="N469" s="6" t="n">
        <v>7</v>
      </c>
      <c r="O469" s="6" t="n">
        <v>2</v>
      </c>
      <c r="P469" s="6" t="n">
        <v>0</v>
      </c>
      <c r="Q469" s="7">
        <f>R469/11</f>
        <v/>
      </c>
      <c r="R469" s="6" t="n">
        <v>7</v>
      </c>
      <c r="S469" s="6" t="n">
        <v>1</v>
      </c>
      <c r="T469" s="6" t="n">
        <v>3</v>
      </c>
      <c r="U469" s="7">
        <f>V469/14</f>
        <v/>
      </c>
      <c r="V469" s="6" t="n">
        <v>7</v>
      </c>
      <c r="W469" s="6" t="n">
        <v>7</v>
      </c>
      <c r="X469" s="6" t="n">
        <v>0</v>
      </c>
      <c r="Y469" s="8" t="n">
        <v>100.08</v>
      </c>
      <c r="Z469" s="9" t="inlineStr">
        <is>
          <t>Success</t>
        </is>
      </c>
      <c r="AA469" s="2" t="inlineStr">
        <is>
          <t>2026-10-08 22:44:37</t>
        </is>
      </c>
    </row>
    <row r="470" ht="21.95" customHeight="1">
      <c r="A470" s="2" t="n">
        <v>469</v>
      </c>
      <c r="B470" s="31" t="inlineStr">
        <is>
          <t>http://www.kgieworld.co.th</t>
        </is>
      </c>
      <c r="C470" s="2" t="inlineStr">
        <is>
          <t>ธนาคาร-การเงิน</t>
        </is>
      </c>
      <c r="D470" s="10">
        <f>F470/71</f>
        <v/>
      </c>
      <c r="E470" s="11">
        <f>IF(D470&gt;=0.9,"ดีเยี่ยม",IF(D470&gt;=0.7,"ดี",IF(D470&gt;=0.5,"พอใช้","ต้องปรับปรุง")))</f>
        <v/>
      </c>
      <c r="F470" s="6">
        <f>J470+N470+R470+V470</f>
        <v/>
      </c>
      <c r="G470" s="6">
        <f>K470+O470+S470+W470</f>
        <v/>
      </c>
      <c r="H470" s="6">
        <f>L470+P470+T470+X470</f>
        <v/>
      </c>
      <c r="I470" s="7">
        <f>J470/37</f>
        <v/>
      </c>
      <c r="J470" s="6" t="n">
        <v>32</v>
      </c>
      <c r="K470" s="6" t="n">
        <v>5</v>
      </c>
      <c r="L470" s="6" t="n">
        <v>0</v>
      </c>
      <c r="M470" s="7">
        <f>N470/9</f>
        <v/>
      </c>
      <c r="N470" s="6" t="n">
        <v>9</v>
      </c>
      <c r="O470" s="6" t="n">
        <v>0</v>
      </c>
      <c r="P470" s="6" t="n">
        <v>0</v>
      </c>
      <c r="Q470" s="7">
        <f>R470/11</f>
        <v/>
      </c>
      <c r="R470" s="6" t="n">
        <v>5</v>
      </c>
      <c r="S470" s="6" t="n">
        <v>4</v>
      </c>
      <c r="T470" s="6" t="n">
        <v>2</v>
      </c>
      <c r="U470" s="7">
        <f>V470/14</f>
        <v/>
      </c>
      <c r="V470" s="6" t="n">
        <v>2</v>
      </c>
      <c r="W470" s="6" t="n">
        <v>12</v>
      </c>
      <c r="X470" s="6" t="n">
        <v>0</v>
      </c>
      <c r="Y470" s="8" t="n">
        <v>72.06999999999999</v>
      </c>
      <c r="Z470" s="9" t="inlineStr">
        <is>
          <t>Success</t>
        </is>
      </c>
      <c r="AA470" s="2" t="inlineStr">
        <is>
          <t>2026-10-08 22:45:49</t>
        </is>
      </c>
    </row>
    <row r="471" ht="21.95" customHeight="1">
      <c r="A471" s="2" t="n">
        <v>470</v>
      </c>
      <c r="B471" s="31" t="inlineStr">
        <is>
          <t>http://www.smart-mobile.com</t>
        </is>
      </c>
      <c r="C471" s="2" t="inlineStr">
        <is>
          <t>คอมพิวเตอร์</t>
        </is>
      </c>
      <c r="D471" s="4">
        <f>F471/71</f>
        <v/>
      </c>
      <c r="E471" s="5">
        <f>IF(D471&gt;=0.9,"ดีเยี่ยม",IF(D471&gt;=0.7,"ดี",IF(D471&gt;=0.5,"พอใช้","ต้องปรับปรุง")))</f>
        <v/>
      </c>
      <c r="F471" s="6">
        <f>J471+N471+R471+V471</f>
        <v/>
      </c>
      <c r="G471" s="6">
        <f>K471+O471+S471+W471</f>
        <v/>
      </c>
      <c r="H471" s="6">
        <f>L471+P471+T471+X471</f>
        <v/>
      </c>
      <c r="I471" s="7">
        <f>J471/37</f>
        <v/>
      </c>
      <c r="J471" s="6" t="n">
        <v>34</v>
      </c>
      <c r="K471" s="6" t="n">
        <v>1</v>
      </c>
      <c r="L471" s="6" t="n">
        <v>2</v>
      </c>
      <c r="M471" s="7">
        <f>N471/9</f>
        <v/>
      </c>
      <c r="N471" s="6" t="n">
        <v>7</v>
      </c>
      <c r="O471" s="6" t="n">
        <v>1</v>
      </c>
      <c r="P471" s="6" t="n">
        <v>1</v>
      </c>
      <c r="Q471" s="7">
        <f>R471/11</f>
        <v/>
      </c>
      <c r="R471" s="6" t="n">
        <v>7</v>
      </c>
      <c r="S471" s="6" t="n">
        <v>1</v>
      </c>
      <c r="T471" s="6" t="n">
        <v>3</v>
      </c>
      <c r="U471" s="7">
        <f>V471/14</f>
        <v/>
      </c>
      <c r="V471" s="6" t="n">
        <v>6</v>
      </c>
      <c r="W471" s="6" t="n">
        <v>7</v>
      </c>
      <c r="X471" s="6" t="n">
        <v>1</v>
      </c>
      <c r="Y471" s="8" t="n">
        <v>37.69</v>
      </c>
      <c r="Z471" s="9" t="inlineStr">
        <is>
          <t>Success</t>
        </is>
      </c>
      <c r="AA471" s="2" t="inlineStr">
        <is>
          <t>2026-10-08 22:46:27</t>
        </is>
      </c>
    </row>
    <row r="472" ht="21.95" customHeight="1">
      <c r="A472" s="2" t="n">
        <v>471</v>
      </c>
      <c r="B472" s="31" t="inlineStr">
        <is>
          <t>http://www.opentle.org</t>
        </is>
      </c>
      <c r="C472" s="2" t="inlineStr">
        <is>
          <t>คอมพิวเตอร์</t>
        </is>
      </c>
      <c r="D472" s="25">
        <f>F472/71</f>
        <v/>
      </c>
      <c r="E472" s="26">
        <f>IF(D472&gt;=0.9,"ดีเยี่ยม",IF(D472&gt;=0.7,"ดี",IF(D472&gt;=0.5,"พอใช้","ต้องปรับปรุง")))</f>
        <v/>
      </c>
      <c r="F472" s="6">
        <f>J472+N472+R472+V472</f>
        <v/>
      </c>
      <c r="G472" s="6">
        <f>K472+O472+S472+W472</f>
        <v/>
      </c>
      <c r="H472" s="6">
        <f>L472+P472+T472+X472</f>
        <v/>
      </c>
      <c r="I472" s="7">
        <f>J472/37</f>
        <v/>
      </c>
      <c r="J472" s="6" t="n">
        <v>0</v>
      </c>
      <c r="K472" s="6" t="n">
        <v>37</v>
      </c>
      <c r="L472" s="6" t="n">
        <v>0</v>
      </c>
      <c r="M472" s="7">
        <f>N472/9</f>
        <v/>
      </c>
      <c r="N472" s="6" t="n">
        <v>0</v>
      </c>
      <c r="O472" s="6" t="n">
        <v>9</v>
      </c>
      <c r="P472" s="6" t="n">
        <v>0</v>
      </c>
      <c r="Q472" s="7">
        <f>R472/11</f>
        <v/>
      </c>
      <c r="R472" s="6" t="n">
        <v>0</v>
      </c>
      <c r="S472" s="6" t="n">
        <v>11</v>
      </c>
      <c r="T472" s="6" t="n">
        <v>0</v>
      </c>
      <c r="U472" s="7">
        <f>V472/14</f>
        <v/>
      </c>
      <c r="V472" s="6" t="n">
        <v>0</v>
      </c>
      <c r="W472" s="6" t="n">
        <v>14</v>
      </c>
      <c r="X472" s="6" t="n">
        <v>0</v>
      </c>
      <c r="Y472" s="8" t="n">
        <v>0.54</v>
      </c>
      <c r="Z472" s="27" t="inlineStr">
        <is>
          <t>Failed (DNS Error (หาเว็บไม่เจอ))</t>
        </is>
      </c>
      <c r="AA472" s="2" t="inlineStr">
        <is>
          <t>2026-10-21 00:13:37</t>
        </is>
      </c>
    </row>
    <row r="473" ht="21.95" customHeight="1">
      <c r="A473" s="2" t="n">
        <v>472</v>
      </c>
      <c r="B473" s="31" t="inlineStr">
        <is>
          <t>http://www.premierdream.com</t>
        </is>
      </c>
      <c r="C473" s="2" t="inlineStr">
        <is>
          <t>กีฬา</t>
        </is>
      </c>
      <c r="D473" s="10">
        <f>F473/71</f>
        <v/>
      </c>
      <c r="E473" s="11">
        <f>IF(D473&gt;=0.9,"ดีเยี่ยม",IF(D473&gt;=0.7,"ดี",IF(D473&gt;=0.5,"พอใช้","ต้องปรับปรุง")))</f>
        <v/>
      </c>
      <c r="F473" s="6">
        <f>J473+N473+R473+V473</f>
        <v/>
      </c>
      <c r="G473" s="6">
        <f>K473+O473+S473+W473</f>
        <v/>
      </c>
      <c r="H473" s="6">
        <f>L473+P473+T473+X473</f>
        <v/>
      </c>
      <c r="I473" s="7">
        <f>J473/37</f>
        <v/>
      </c>
      <c r="J473" s="6" t="n">
        <v>36</v>
      </c>
      <c r="K473" s="6" t="n">
        <v>1</v>
      </c>
      <c r="L473" s="6" t="n">
        <v>0</v>
      </c>
      <c r="M473" s="7">
        <f>N473/9</f>
        <v/>
      </c>
      <c r="N473" s="6" t="n">
        <v>5</v>
      </c>
      <c r="O473" s="6" t="n">
        <v>4</v>
      </c>
      <c r="P473" s="6" t="n">
        <v>0</v>
      </c>
      <c r="Q473" s="7">
        <f>R473/11</f>
        <v/>
      </c>
      <c r="R473" s="6" t="n">
        <v>3</v>
      </c>
      <c r="S473" s="6" t="n">
        <v>3</v>
      </c>
      <c r="T473" s="6" t="n">
        <v>5</v>
      </c>
      <c r="U473" s="7">
        <f>V473/14</f>
        <v/>
      </c>
      <c r="V473" s="6" t="n">
        <v>2</v>
      </c>
      <c r="W473" s="6" t="n">
        <v>12</v>
      </c>
      <c r="X473" s="6" t="n">
        <v>0</v>
      </c>
      <c r="Y473" s="8" t="n">
        <v>38.01</v>
      </c>
      <c r="Z473" s="9" t="inlineStr">
        <is>
          <t>Success</t>
        </is>
      </c>
      <c r="AA473" s="2" t="inlineStr">
        <is>
          <t>2026-10-08 22:47:41</t>
        </is>
      </c>
    </row>
    <row r="474" ht="21.95" customHeight="1">
      <c r="A474" s="2" t="n">
        <v>473</v>
      </c>
      <c r="B474" s="31" t="inlineStr">
        <is>
          <t>http://www.rta.mi.th</t>
        </is>
      </c>
      <c r="C474" s="2" t="inlineStr">
        <is>
          <t>หน่วยงานราชการ,องค์กร</t>
        </is>
      </c>
      <c r="D474" s="10">
        <f>F474/71</f>
        <v/>
      </c>
      <c r="E474" s="11">
        <f>IF(D474&gt;=0.9,"ดีเยี่ยม",IF(D474&gt;=0.7,"ดี",IF(D474&gt;=0.5,"พอใช้","ต้องปรับปรุง")))</f>
        <v/>
      </c>
      <c r="F474" s="6">
        <f>J474+N474+R474+V474</f>
        <v/>
      </c>
      <c r="G474" s="6">
        <f>K474+O474+S474+W474</f>
        <v/>
      </c>
      <c r="H474" s="6">
        <f>L474+P474+T474+X474</f>
        <v/>
      </c>
      <c r="I474" s="7">
        <f>J474/37</f>
        <v/>
      </c>
      <c r="J474" s="6" t="n">
        <v>32</v>
      </c>
      <c r="K474" s="6" t="n">
        <v>2</v>
      </c>
      <c r="L474" s="6" t="n">
        <v>3</v>
      </c>
      <c r="M474" s="7">
        <f>N474/9</f>
        <v/>
      </c>
      <c r="N474" s="6" t="n">
        <v>8</v>
      </c>
      <c r="O474" s="6" t="n">
        <v>1</v>
      </c>
      <c r="P474" s="6" t="n">
        <v>0</v>
      </c>
      <c r="Q474" s="7">
        <f>R474/11</f>
        <v/>
      </c>
      <c r="R474" s="6" t="n">
        <v>5</v>
      </c>
      <c r="S474" s="6" t="n">
        <v>1</v>
      </c>
      <c r="T474" s="6" t="n">
        <v>5</v>
      </c>
      <c r="U474" s="7">
        <f>V474/14</f>
        <v/>
      </c>
      <c r="V474" s="6" t="n">
        <v>4</v>
      </c>
      <c r="W474" s="6" t="n">
        <v>8</v>
      </c>
      <c r="X474" s="6" t="n">
        <v>2</v>
      </c>
      <c r="Y474" s="8" t="n">
        <v>35.58</v>
      </c>
      <c r="Z474" s="9" t="inlineStr">
        <is>
          <t>Success</t>
        </is>
      </c>
      <c r="AA474" s="2" t="inlineStr">
        <is>
          <t>2026-10-08 22:48:16</t>
        </is>
      </c>
    </row>
    <row r="475" ht="21.95" customHeight="1">
      <c r="A475" s="2" t="n">
        <v>474</v>
      </c>
      <c r="B475" s="31" t="inlineStr">
        <is>
          <t>http://www.kasikornbank.com</t>
        </is>
      </c>
      <c r="C475" s="2" t="inlineStr">
        <is>
          <t>ธนาคาร-การเงิน</t>
        </is>
      </c>
      <c r="D475" s="25">
        <f>F475/71</f>
        <v/>
      </c>
      <c r="E475" s="26">
        <f>IF(D475&gt;=0.9,"ดีเยี่ยม",IF(D475&gt;=0.7,"ดี",IF(D475&gt;=0.5,"พอใช้","ต้องปรับปรุง")))</f>
        <v/>
      </c>
      <c r="F475" s="6">
        <f>J475+N475+R475+V475</f>
        <v/>
      </c>
      <c r="G475" s="6">
        <f>K475+O475+S475+W475</f>
        <v/>
      </c>
      <c r="H475" s="6">
        <f>L475+P475+T475+X475</f>
        <v/>
      </c>
      <c r="I475" s="7">
        <f>J475/37</f>
        <v/>
      </c>
      <c r="J475" s="6" t="n">
        <v>0</v>
      </c>
      <c r="K475" s="6" t="n">
        <v>37</v>
      </c>
      <c r="L475" s="6" t="n">
        <v>0</v>
      </c>
      <c r="M475" s="7">
        <f>N475/9</f>
        <v/>
      </c>
      <c r="N475" s="6" t="n">
        <v>0</v>
      </c>
      <c r="O475" s="6" t="n">
        <v>9</v>
      </c>
      <c r="P475" s="6" t="n">
        <v>0</v>
      </c>
      <c r="Q475" s="7">
        <f>R475/11</f>
        <v/>
      </c>
      <c r="R475" s="6" t="n">
        <v>0</v>
      </c>
      <c r="S475" s="6" t="n">
        <v>11</v>
      </c>
      <c r="T475" s="6" t="n">
        <v>0</v>
      </c>
      <c r="U475" s="7">
        <f>V475/14</f>
        <v/>
      </c>
      <c r="V475" s="6" t="n">
        <v>0</v>
      </c>
      <c r="W475" s="6" t="n">
        <v>14</v>
      </c>
      <c r="X475" s="6" t="n">
        <v>0</v>
      </c>
      <c r="Y475" s="8" t="n">
        <v>0.08</v>
      </c>
      <c r="Z475" s="27" t="inlineStr">
        <is>
          <t>Failed (โดนบล็อก / เข้าถึงไม่ได้ (HTTP 403))</t>
        </is>
      </c>
      <c r="AA475" s="2" t="inlineStr">
        <is>
          <t>2026-10-21 00:13:37</t>
        </is>
      </c>
    </row>
    <row r="476" ht="21.95" customHeight="1">
      <c r="A476" s="2" t="n">
        <v>475</v>
      </c>
      <c r="B476" s="31" t="inlineStr">
        <is>
          <t>http://www.sumitratour.com</t>
        </is>
      </c>
      <c r="C476" s="2" t="inlineStr">
        <is>
          <t>ยานยนต์</t>
        </is>
      </c>
      <c r="D476" s="10">
        <f>F476/71</f>
        <v/>
      </c>
      <c r="E476" s="11">
        <f>IF(D476&gt;=0.9,"ดีเยี่ยม",IF(D476&gt;=0.7,"ดี",IF(D476&gt;=0.5,"พอใช้","ต้องปรับปรุง")))</f>
        <v/>
      </c>
      <c r="F476" s="6">
        <f>J476+N476+R476+V476</f>
        <v/>
      </c>
      <c r="G476" s="6">
        <f>K476+O476+S476+W476</f>
        <v/>
      </c>
      <c r="H476" s="6">
        <f>L476+P476+T476+X476</f>
        <v/>
      </c>
      <c r="I476" s="7">
        <f>J476/37</f>
        <v/>
      </c>
      <c r="J476" s="6" t="n">
        <v>31</v>
      </c>
      <c r="K476" s="6" t="n">
        <v>6</v>
      </c>
      <c r="L476" s="6" t="n">
        <v>0</v>
      </c>
      <c r="M476" s="7">
        <f>N476/9</f>
        <v/>
      </c>
      <c r="N476" s="6" t="n">
        <v>6</v>
      </c>
      <c r="O476" s="6" t="n">
        <v>3</v>
      </c>
      <c r="P476" s="6" t="n">
        <v>0</v>
      </c>
      <c r="Q476" s="7">
        <f>R476/11</f>
        <v/>
      </c>
      <c r="R476" s="6" t="n">
        <v>3</v>
      </c>
      <c r="S476" s="6" t="n">
        <v>3</v>
      </c>
      <c r="T476" s="6" t="n">
        <v>5</v>
      </c>
      <c r="U476" s="7">
        <f>V476/14</f>
        <v/>
      </c>
      <c r="V476" s="6" t="n">
        <v>4</v>
      </c>
      <c r="W476" s="6" t="n">
        <v>7</v>
      </c>
      <c r="X476" s="6" t="n">
        <v>3</v>
      </c>
      <c r="Y476" s="8" t="n">
        <v>35.71</v>
      </c>
      <c r="Z476" s="9" t="inlineStr">
        <is>
          <t>Success</t>
        </is>
      </c>
      <c r="AA476" s="2" t="inlineStr">
        <is>
          <t>2026-10-08 22:49:27</t>
        </is>
      </c>
    </row>
    <row r="477" ht="21.95" customHeight="1">
      <c r="A477" s="2" t="n">
        <v>476</v>
      </c>
      <c r="B477" s="31" t="inlineStr">
        <is>
          <t>http://www.ertc.deqp.go.th</t>
        </is>
      </c>
      <c r="C477" s="2" t="inlineStr">
        <is>
          <t>หน่วยงานราชการ,องค์กร</t>
        </is>
      </c>
      <c r="D477" s="25">
        <f>F477/71</f>
        <v/>
      </c>
      <c r="E477" s="26">
        <f>IF(D477&gt;=0.9,"ดีเยี่ยม",IF(D477&gt;=0.7,"ดี",IF(D477&gt;=0.5,"พอใช้","ต้องปรับปรุง")))</f>
        <v/>
      </c>
      <c r="F477" s="6">
        <f>J477+N477+R477+V477</f>
        <v/>
      </c>
      <c r="G477" s="6">
        <f>K477+O477+S477+W477</f>
        <v/>
      </c>
      <c r="H477" s="6">
        <f>L477+P477+T477+X477</f>
        <v/>
      </c>
      <c r="I477" s="7">
        <f>J477/37</f>
        <v/>
      </c>
      <c r="J477" s="6" t="n">
        <v>0</v>
      </c>
      <c r="K477" s="6" t="n">
        <v>37</v>
      </c>
      <c r="L477" s="6" t="n">
        <v>0</v>
      </c>
      <c r="M477" s="7">
        <f>N477/9</f>
        <v/>
      </c>
      <c r="N477" s="6" t="n">
        <v>0</v>
      </c>
      <c r="O477" s="6" t="n">
        <v>9</v>
      </c>
      <c r="P477" s="6" t="n">
        <v>0</v>
      </c>
      <c r="Q477" s="7">
        <f>R477/11</f>
        <v/>
      </c>
      <c r="R477" s="6" t="n">
        <v>0</v>
      </c>
      <c r="S477" s="6" t="n">
        <v>11</v>
      </c>
      <c r="T477" s="6" t="n">
        <v>0</v>
      </c>
      <c r="U477" s="7">
        <f>V477/14</f>
        <v/>
      </c>
      <c r="V477" s="6" t="n">
        <v>0</v>
      </c>
      <c r="W477" s="6" t="n">
        <v>14</v>
      </c>
      <c r="X477" s="6" t="n">
        <v>0</v>
      </c>
      <c r="Y477" s="8" t="n">
        <v>0.1</v>
      </c>
      <c r="Z477" s="27" t="inlineStr">
        <is>
          <t>Failed (DNS Error (หาเว็บไม่เจอ))</t>
        </is>
      </c>
      <c r="AA477" s="2" t="inlineStr">
        <is>
          <t>2026-10-21 00:13:37</t>
        </is>
      </c>
    </row>
    <row r="478" ht="21.95" customHeight="1">
      <c r="A478" s="2" t="n">
        <v>477</v>
      </c>
      <c r="B478" s="31" t="inlineStr">
        <is>
          <t>http://www.sac.or.th</t>
        </is>
      </c>
      <c r="C478" s="2" t="inlineStr">
        <is>
          <t>หน่วยงานราชการ,องค์กร</t>
        </is>
      </c>
      <c r="D478" s="10">
        <f>F478/71</f>
        <v/>
      </c>
      <c r="E478" s="11">
        <f>IF(D478&gt;=0.9,"ดีเยี่ยม",IF(D478&gt;=0.7,"ดี",IF(D478&gt;=0.5,"พอใช้","ต้องปรับปรุง")))</f>
        <v/>
      </c>
      <c r="F478" s="6">
        <f>J478+N478+R478+V478</f>
        <v/>
      </c>
      <c r="G478" s="6">
        <f>K478+O478+S478+W478</f>
        <v/>
      </c>
      <c r="H478" s="6">
        <f>L478+P478+T478+X478</f>
        <v/>
      </c>
      <c r="I478" s="7">
        <f>J478/37</f>
        <v/>
      </c>
      <c r="J478" s="6" t="n">
        <v>35</v>
      </c>
      <c r="K478" s="6" t="n">
        <v>2</v>
      </c>
      <c r="L478" s="6" t="n">
        <v>0</v>
      </c>
      <c r="M478" s="7">
        <f>N478/9</f>
        <v/>
      </c>
      <c r="N478" s="6" t="n">
        <v>6</v>
      </c>
      <c r="O478" s="6" t="n">
        <v>3</v>
      </c>
      <c r="P478" s="6" t="n">
        <v>0</v>
      </c>
      <c r="Q478" s="7">
        <f>R478/11</f>
        <v/>
      </c>
      <c r="R478" s="6" t="n">
        <v>3</v>
      </c>
      <c r="S478" s="6" t="n">
        <v>3</v>
      </c>
      <c r="T478" s="6" t="n">
        <v>5</v>
      </c>
      <c r="U478" s="7">
        <f>V478/14</f>
        <v/>
      </c>
      <c r="V478" s="6" t="n">
        <v>2</v>
      </c>
      <c r="W478" s="6" t="n">
        <v>12</v>
      </c>
      <c r="X478" s="6" t="n">
        <v>0</v>
      </c>
      <c r="Y478" s="8" t="n">
        <v>44.26</v>
      </c>
      <c r="Z478" s="9" t="inlineStr">
        <is>
          <t>Success</t>
        </is>
      </c>
      <c r="AA478" s="2" t="inlineStr">
        <is>
          <t>2026-10-08 22:50:47</t>
        </is>
      </c>
    </row>
    <row r="479" ht="21.95" customHeight="1">
      <c r="A479" s="2" t="n">
        <v>478</v>
      </c>
      <c r="B479" s="31" t="inlineStr">
        <is>
          <t>http://www.lookball.com</t>
        </is>
      </c>
      <c r="C479" s="2" t="inlineStr">
        <is>
          <t>กีฬา</t>
        </is>
      </c>
      <c r="D479" s="25">
        <f>F479/71</f>
        <v/>
      </c>
      <c r="E479" s="26">
        <f>IF(D479&gt;=0.9,"ดีเยี่ยม",IF(D479&gt;=0.7,"ดี",IF(D479&gt;=0.5,"พอใช้","ต้องปรับปรุง")))</f>
        <v/>
      </c>
      <c r="F479" s="6">
        <f>J479+N479+R479+V479</f>
        <v/>
      </c>
      <c r="G479" s="6">
        <f>K479+O479+S479+W479</f>
        <v/>
      </c>
      <c r="H479" s="6">
        <f>L479+P479+T479+X479</f>
        <v/>
      </c>
      <c r="I479" s="7">
        <f>J479/37</f>
        <v/>
      </c>
      <c r="J479" s="6" t="n">
        <v>0</v>
      </c>
      <c r="K479" s="6" t="n">
        <v>37</v>
      </c>
      <c r="L479" s="6" t="n">
        <v>0</v>
      </c>
      <c r="M479" s="7">
        <f>N479/9</f>
        <v/>
      </c>
      <c r="N479" s="6" t="n">
        <v>0</v>
      </c>
      <c r="O479" s="6" t="n">
        <v>9</v>
      </c>
      <c r="P479" s="6" t="n">
        <v>0</v>
      </c>
      <c r="Q479" s="7">
        <f>R479/11</f>
        <v/>
      </c>
      <c r="R479" s="6" t="n">
        <v>0</v>
      </c>
      <c r="S479" s="6" t="n">
        <v>11</v>
      </c>
      <c r="T479" s="6" t="n">
        <v>0</v>
      </c>
      <c r="U479" s="7">
        <f>V479/14</f>
        <v/>
      </c>
      <c r="V479" s="6" t="n">
        <v>0</v>
      </c>
      <c r="W479" s="6" t="n">
        <v>14</v>
      </c>
      <c r="X479" s="6" t="n">
        <v>0</v>
      </c>
      <c r="Y479" s="8" t="n">
        <v>1.52</v>
      </c>
      <c r="Z479" s="27" t="inlineStr">
        <is>
          <t>Failed (หน้าพักโดเมน / โดเมนหมดอายุ)</t>
        </is>
      </c>
      <c r="AA479" s="2" t="inlineStr">
        <is>
          <t>2026-10-21 00:13:37</t>
        </is>
      </c>
    </row>
    <row r="480" ht="21.95" customHeight="1">
      <c r="A480" s="2" t="n">
        <v>479</v>
      </c>
      <c r="B480" s="31" t="inlineStr">
        <is>
          <t>http://apecforesight.org</t>
        </is>
      </c>
      <c r="C480" s="2" t="inlineStr">
        <is>
          <t>หน่วยงานราชการ,องค์กร</t>
        </is>
      </c>
      <c r="D480" s="10">
        <f>F480/71</f>
        <v/>
      </c>
      <c r="E480" s="11">
        <f>IF(D480&gt;=0.9,"ดีเยี่ยม",IF(D480&gt;=0.7,"ดี",IF(D480&gt;=0.5,"พอใช้","ต้องปรับปรุง")))</f>
        <v/>
      </c>
      <c r="F480" s="6">
        <f>J480+N480+R480+V480</f>
        <v/>
      </c>
      <c r="G480" s="6">
        <f>K480+O480+S480+W480</f>
        <v/>
      </c>
      <c r="H480" s="6">
        <f>L480+P480+T480+X480</f>
        <v/>
      </c>
      <c r="I480" s="7">
        <f>J480/37</f>
        <v/>
      </c>
      <c r="J480" s="6" t="n">
        <v>35</v>
      </c>
      <c r="K480" s="6" t="n">
        <v>2</v>
      </c>
      <c r="L480" s="6" t="n">
        <v>0</v>
      </c>
      <c r="M480" s="7">
        <f>N480/9</f>
        <v/>
      </c>
      <c r="N480" s="6" t="n">
        <v>7</v>
      </c>
      <c r="O480" s="6" t="n">
        <v>1</v>
      </c>
      <c r="P480" s="6" t="n">
        <v>1</v>
      </c>
      <c r="Q480" s="7">
        <f>R480/11</f>
        <v/>
      </c>
      <c r="R480" s="6" t="n">
        <v>5</v>
      </c>
      <c r="S480" s="6" t="n">
        <v>3</v>
      </c>
      <c r="T480" s="6" t="n">
        <v>3</v>
      </c>
      <c r="U480" s="7">
        <f>V480/14</f>
        <v/>
      </c>
      <c r="V480" s="6" t="n">
        <v>2</v>
      </c>
      <c r="W480" s="6" t="n">
        <v>12</v>
      </c>
      <c r="X480" s="6" t="n">
        <v>0</v>
      </c>
      <c r="Y480" s="8" t="n">
        <v>36.82</v>
      </c>
      <c r="Z480" s="9" t="inlineStr">
        <is>
          <t>Success</t>
        </is>
      </c>
      <c r="AA480" s="2" t="inlineStr">
        <is>
          <t>2026-10-08 22:52:01</t>
        </is>
      </c>
    </row>
    <row r="481" ht="21.95" customHeight="1">
      <c r="A481" s="2" t="n">
        <v>480</v>
      </c>
      <c r="B481" s="31" t="inlineStr">
        <is>
          <t>http://www.wachirawit.ac.th</t>
        </is>
      </c>
      <c r="C481" s="2" t="inlineStr">
        <is>
          <t>การศึกษา</t>
        </is>
      </c>
      <c r="D481" s="10">
        <f>F481/71</f>
        <v/>
      </c>
      <c r="E481" s="11">
        <f>IF(D481&gt;=0.9,"ดีเยี่ยม",IF(D481&gt;=0.7,"ดี",IF(D481&gt;=0.5,"พอใช้","ต้องปรับปรุง")))</f>
        <v/>
      </c>
      <c r="F481" s="6">
        <f>J481+N481+R481+V481</f>
        <v/>
      </c>
      <c r="G481" s="6">
        <f>K481+O481+S481+W481</f>
        <v/>
      </c>
      <c r="H481" s="6">
        <f>L481+P481+T481+X481</f>
        <v/>
      </c>
      <c r="I481" s="7">
        <f>J481/37</f>
        <v/>
      </c>
      <c r="J481" s="6" t="n">
        <v>33</v>
      </c>
      <c r="K481" s="6" t="n">
        <v>4</v>
      </c>
      <c r="L481" s="6" t="n">
        <v>0</v>
      </c>
      <c r="M481" s="7">
        <f>N481/9</f>
        <v/>
      </c>
      <c r="N481" s="6" t="n">
        <v>6</v>
      </c>
      <c r="O481" s="6" t="n">
        <v>3</v>
      </c>
      <c r="P481" s="6" t="n">
        <v>0</v>
      </c>
      <c r="Q481" s="7">
        <f>R481/11</f>
        <v/>
      </c>
      <c r="R481" s="6" t="n">
        <v>2</v>
      </c>
      <c r="S481" s="6" t="n">
        <v>4</v>
      </c>
      <c r="T481" s="6" t="n">
        <v>5</v>
      </c>
      <c r="U481" s="7">
        <f>V481/14</f>
        <v/>
      </c>
      <c r="V481" s="6" t="n">
        <v>1</v>
      </c>
      <c r="W481" s="6" t="n">
        <v>13</v>
      </c>
      <c r="X481" s="6" t="n">
        <v>0</v>
      </c>
      <c r="Y481" s="8" t="n">
        <v>36.64</v>
      </c>
      <c r="Z481" s="9" t="inlineStr">
        <is>
          <t>Success</t>
        </is>
      </c>
      <c r="AA481" s="2" t="inlineStr">
        <is>
          <t>2026-10-08 22:52:37</t>
        </is>
      </c>
    </row>
    <row r="482" ht="21.95" customHeight="1">
      <c r="A482" s="2" t="n">
        <v>481</v>
      </c>
      <c r="B482" s="31" t="inlineStr">
        <is>
          <t>http://www.apectf.net</t>
        </is>
      </c>
      <c r="C482" s="2" t="inlineStr">
        <is>
          <t>หน่วยงานราชการ,องค์กร</t>
        </is>
      </c>
      <c r="D482" s="25">
        <f>F482/71</f>
        <v/>
      </c>
      <c r="E482" s="26">
        <f>IF(D482&gt;=0.9,"ดีเยี่ยม",IF(D482&gt;=0.7,"ดี",IF(D482&gt;=0.5,"พอใช้","ต้องปรับปรุง")))</f>
        <v/>
      </c>
      <c r="F482" s="6">
        <f>J482+N482+R482+V482</f>
        <v/>
      </c>
      <c r="G482" s="6">
        <f>K482+O482+S482+W482</f>
        <v/>
      </c>
      <c r="H482" s="6">
        <f>L482+P482+T482+X482</f>
        <v/>
      </c>
      <c r="I482" s="7">
        <f>J482/37</f>
        <v/>
      </c>
      <c r="J482" s="6" t="n">
        <v>0</v>
      </c>
      <c r="K482" s="6" t="n">
        <v>37</v>
      </c>
      <c r="L482" s="6" t="n">
        <v>0</v>
      </c>
      <c r="M482" s="7">
        <f>N482/9</f>
        <v/>
      </c>
      <c r="N482" s="6" t="n">
        <v>0</v>
      </c>
      <c r="O482" s="6" t="n">
        <v>9</v>
      </c>
      <c r="P482" s="6" t="n">
        <v>0</v>
      </c>
      <c r="Q482" s="7">
        <f>R482/11</f>
        <v/>
      </c>
      <c r="R482" s="6" t="n">
        <v>0</v>
      </c>
      <c r="S482" s="6" t="n">
        <v>11</v>
      </c>
      <c r="T482" s="6" t="n">
        <v>0</v>
      </c>
      <c r="U482" s="7">
        <f>V482/14</f>
        <v/>
      </c>
      <c r="V482" s="6" t="n">
        <v>0</v>
      </c>
      <c r="W482" s="6" t="n">
        <v>14</v>
      </c>
      <c r="X482" s="6" t="n">
        <v>0</v>
      </c>
      <c r="Y482" s="8" t="n">
        <v>0.03</v>
      </c>
      <c r="Z482" s="27" t="inlineStr">
        <is>
          <t>Failed (DNS Error (หาเว็บไม่เจอ))</t>
        </is>
      </c>
      <c r="AA482" s="2" t="inlineStr">
        <is>
          <t>2026-10-21 00:13:37</t>
        </is>
      </c>
    </row>
    <row r="483" ht="21.95" customHeight="1">
      <c r="A483" s="2" t="n">
        <v>482</v>
      </c>
      <c r="B483" s="31" t="inlineStr">
        <is>
          <t>http://www.thaipresentation.com</t>
        </is>
      </c>
      <c r="C483" s="2" t="inlineStr">
        <is>
          <t>ธุรกิจ</t>
        </is>
      </c>
      <c r="D483" s="25">
        <f>F483/71</f>
        <v/>
      </c>
      <c r="E483" s="26">
        <f>IF(D483&gt;=0.9,"ดีเยี่ยม",IF(D483&gt;=0.7,"ดี",IF(D483&gt;=0.5,"พอใช้","ต้องปรับปรุง")))</f>
        <v/>
      </c>
      <c r="F483" s="6">
        <f>J483+N483+R483+V483</f>
        <v/>
      </c>
      <c r="G483" s="6">
        <f>K483+O483+S483+W483</f>
        <v/>
      </c>
      <c r="H483" s="6">
        <f>L483+P483+T483+X483</f>
        <v/>
      </c>
      <c r="I483" s="7">
        <f>J483/37</f>
        <v/>
      </c>
      <c r="J483" s="6" t="n">
        <v>0</v>
      </c>
      <c r="K483" s="6" t="n">
        <v>37</v>
      </c>
      <c r="L483" s="6" t="n">
        <v>0</v>
      </c>
      <c r="M483" s="7">
        <f>N483/9</f>
        <v/>
      </c>
      <c r="N483" s="6" t="n">
        <v>0</v>
      </c>
      <c r="O483" s="6" t="n">
        <v>9</v>
      </c>
      <c r="P483" s="6" t="n">
        <v>0</v>
      </c>
      <c r="Q483" s="7">
        <f>R483/11</f>
        <v/>
      </c>
      <c r="R483" s="6" t="n">
        <v>0</v>
      </c>
      <c r="S483" s="6" t="n">
        <v>11</v>
      </c>
      <c r="T483" s="6" t="n">
        <v>0</v>
      </c>
      <c r="U483" s="7">
        <f>V483/14</f>
        <v/>
      </c>
      <c r="V483" s="6" t="n">
        <v>0</v>
      </c>
      <c r="W483" s="6" t="n">
        <v>14</v>
      </c>
      <c r="X483" s="6" t="n">
        <v>0</v>
      </c>
      <c r="Y483" s="8" t="n">
        <v>24.94</v>
      </c>
      <c r="Z483" s="27" t="inlineStr">
        <is>
          <t>Failed (Timeout (เว็บไม่ตอบ))</t>
        </is>
      </c>
      <c r="AA483" s="2" t="inlineStr">
        <is>
          <t>2026-10-21 00:13:37</t>
        </is>
      </c>
    </row>
    <row r="484" ht="21.95" customHeight="1">
      <c r="A484" s="2" t="n">
        <v>483</v>
      </c>
      <c r="B484" s="31" t="inlineStr">
        <is>
          <t>http://plakdeena.com</t>
        </is>
      </c>
      <c r="C484" s="2" t="inlineStr">
        <is>
          <t>บันเทิงสำหรับผู้ใหญ่</t>
        </is>
      </c>
      <c r="D484" s="25">
        <f>F484/71</f>
        <v/>
      </c>
      <c r="E484" s="26">
        <f>IF(D484&gt;=0.9,"ดีเยี่ยม",IF(D484&gt;=0.7,"ดี",IF(D484&gt;=0.5,"พอใช้","ต้องปรับปรุง")))</f>
        <v/>
      </c>
      <c r="F484" s="6">
        <f>J484+N484+R484+V484</f>
        <v/>
      </c>
      <c r="G484" s="6">
        <f>K484+O484+S484+W484</f>
        <v/>
      </c>
      <c r="H484" s="6">
        <f>L484+P484+T484+X484</f>
        <v/>
      </c>
      <c r="I484" s="7">
        <f>J484/37</f>
        <v/>
      </c>
      <c r="J484" s="6" t="n">
        <v>0</v>
      </c>
      <c r="K484" s="6" t="n">
        <v>37</v>
      </c>
      <c r="L484" s="6" t="n">
        <v>0</v>
      </c>
      <c r="M484" s="7">
        <f>N484/9</f>
        <v/>
      </c>
      <c r="N484" s="6" t="n">
        <v>0</v>
      </c>
      <c r="O484" s="6" t="n">
        <v>9</v>
      </c>
      <c r="P484" s="6" t="n">
        <v>0</v>
      </c>
      <c r="Q484" s="7">
        <f>R484/11</f>
        <v/>
      </c>
      <c r="R484" s="6" t="n">
        <v>0</v>
      </c>
      <c r="S484" s="6" t="n">
        <v>11</v>
      </c>
      <c r="T484" s="6" t="n">
        <v>0</v>
      </c>
      <c r="U484" s="7">
        <f>V484/14</f>
        <v/>
      </c>
      <c r="V484" s="6" t="n">
        <v>0</v>
      </c>
      <c r="W484" s="6" t="n">
        <v>14</v>
      </c>
      <c r="X484" s="6" t="n">
        <v>0</v>
      </c>
      <c r="Y484" s="8" t="n">
        <v>0.23</v>
      </c>
      <c r="Z484" s="27" t="inlineStr">
        <is>
          <t>Failed (DNS Error (หาเว็บไม่เจอ))</t>
        </is>
      </c>
      <c r="AA484" s="2" t="inlineStr">
        <is>
          <t>2026-10-21 00:13:37</t>
        </is>
      </c>
    </row>
    <row r="485" ht="21.95" customHeight="1">
      <c r="A485" s="2" t="n">
        <v>484</v>
      </c>
      <c r="B485" s="31" t="inlineStr">
        <is>
          <t>http://www.evsthailand.com</t>
        </is>
      </c>
      <c r="C485" s="2" t="inlineStr">
        <is>
          <t>บันเทิง</t>
        </is>
      </c>
      <c r="D485" s="25">
        <f>F485/71</f>
        <v/>
      </c>
      <c r="E485" s="26">
        <f>IF(D485&gt;=0.9,"ดีเยี่ยม",IF(D485&gt;=0.7,"ดี",IF(D485&gt;=0.5,"พอใช้","ต้องปรับปรุง")))</f>
        <v/>
      </c>
      <c r="F485" s="6">
        <f>J485+N485+R485+V485</f>
        <v/>
      </c>
      <c r="G485" s="6">
        <f>K485+O485+S485+W485</f>
        <v/>
      </c>
      <c r="H485" s="6">
        <f>L485+P485+T485+X485</f>
        <v/>
      </c>
      <c r="I485" s="7">
        <f>J485/37</f>
        <v/>
      </c>
      <c r="J485" s="6" t="n">
        <v>0</v>
      </c>
      <c r="K485" s="6" t="n">
        <v>37</v>
      </c>
      <c r="L485" s="6" t="n">
        <v>0</v>
      </c>
      <c r="M485" s="7">
        <f>N485/9</f>
        <v/>
      </c>
      <c r="N485" s="6" t="n">
        <v>0</v>
      </c>
      <c r="O485" s="6" t="n">
        <v>9</v>
      </c>
      <c r="P485" s="6" t="n">
        <v>0</v>
      </c>
      <c r="Q485" s="7">
        <f>R485/11</f>
        <v/>
      </c>
      <c r="R485" s="6" t="n">
        <v>0</v>
      </c>
      <c r="S485" s="6" t="n">
        <v>11</v>
      </c>
      <c r="T485" s="6" t="n">
        <v>0</v>
      </c>
      <c r="U485" s="7">
        <f>V485/14</f>
        <v/>
      </c>
      <c r="V485" s="6" t="n">
        <v>0</v>
      </c>
      <c r="W485" s="6" t="n">
        <v>14</v>
      </c>
      <c r="X485" s="6" t="n">
        <v>0</v>
      </c>
      <c r="Y485" s="8" t="n">
        <v>0.41</v>
      </c>
      <c r="Z485" s="27" t="inlineStr">
        <is>
          <t>Failed (Client Error (HTTP 444))</t>
        </is>
      </c>
      <c r="AA485" s="2" t="inlineStr">
        <is>
          <t>2026-10-21 00:13:37</t>
        </is>
      </c>
    </row>
    <row r="486" ht="21.95" customHeight="1">
      <c r="A486" s="2" t="n">
        <v>485</v>
      </c>
      <c r="B486" s="31" t="inlineStr">
        <is>
          <t>http://www.khonbaakpae.com</t>
        </is>
      </c>
      <c r="C486" s="2" t="inlineStr">
        <is>
          <t>ท่องเที่ยว</t>
        </is>
      </c>
      <c r="D486" s="10">
        <f>F486/71</f>
        <v/>
      </c>
      <c r="E486" s="11">
        <f>IF(D486&gt;=0.9,"ดีเยี่ยม",IF(D486&gt;=0.7,"ดี",IF(D486&gt;=0.5,"พอใช้","ต้องปรับปรุง")))</f>
        <v/>
      </c>
      <c r="F486" s="6">
        <f>J486+N486+R486+V486</f>
        <v/>
      </c>
      <c r="G486" s="6">
        <f>K486+O486+S486+W486</f>
        <v/>
      </c>
      <c r="H486" s="6">
        <f>L486+P486+T486+X486</f>
        <v/>
      </c>
      <c r="I486" s="7">
        <f>J486/37</f>
        <v/>
      </c>
      <c r="J486" s="6" t="n">
        <v>32</v>
      </c>
      <c r="K486" s="6" t="n">
        <v>5</v>
      </c>
      <c r="L486" s="6" t="n">
        <v>0</v>
      </c>
      <c r="M486" s="7">
        <f>N486/9</f>
        <v/>
      </c>
      <c r="N486" s="6" t="n">
        <v>8</v>
      </c>
      <c r="O486" s="6" t="n">
        <v>1</v>
      </c>
      <c r="P486" s="6" t="n">
        <v>0</v>
      </c>
      <c r="Q486" s="7">
        <f>R486/11</f>
        <v/>
      </c>
      <c r="R486" s="6" t="n">
        <v>1</v>
      </c>
      <c r="S486" s="6" t="n">
        <v>3</v>
      </c>
      <c r="T486" s="6" t="n">
        <v>7</v>
      </c>
      <c r="U486" s="7">
        <f>V486/14</f>
        <v/>
      </c>
      <c r="V486" s="6" t="n">
        <v>2</v>
      </c>
      <c r="W486" s="6" t="n">
        <v>12</v>
      </c>
      <c r="X486" s="6" t="n">
        <v>0</v>
      </c>
      <c r="Y486" s="8" t="n">
        <v>45.7</v>
      </c>
      <c r="Z486" s="9" t="inlineStr">
        <is>
          <t>Success</t>
        </is>
      </c>
      <c r="AA486" s="2" t="inlineStr">
        <is>
          <t>2026-10-08 22:56:24</t>
        </is>
      </c>
    </row>
    <row r="487" ht="21.95" customHeight="1">
      <c r="A487" s="2" t="n">
        <v>486</v>
      </c>
      <c r="B487" s="31" t="inlineStr">
        <is>
          <t>http://lexitron.nectec.or.th</t>
        </is>
      </c>
      <c r="C487" s="2" t="inlineStr">
        <is>
          <t>การศึกษา</t>
        </is>
      </c>
      <c r="D487" s="4">
        <f>F487/71</f>
        <v/>
      </c>
      <c r="E487" s="5">
        <f>IF(D487&gt;=0.9,"ดีเยี่ยม",IF(D487&gt;=0.7,"ดี",IF(D487&gt;=0.5,"พอใช้","ต้องปรับปรุง")))</f>
        <v/>
      </c>
      <c r="F487" s="6">
        <f>J487+N487+R487+V487</f>
        <v/>
      </c>
      <c r="G487" s="6">
        <f>K487+O487+S487+W487</f>
        <v/>
      </c>
      <c r="H487" s="6">
        <f>L487+P487+T487+X487</f>
        <v/>
      </c>
      <c r="I487" s="7">
        <f>J487/37</f>
        <v/>
      </c>
      <c r="J487" s="6" t="n">
        <v>37</v>
      </c>
      <c r="K487" s="6" t="n">
        <v>0</v>
      </c>
      <c r="L487" s="6" t="n">
        <v>0</v>
      </c>
      <c r="M487" s="7">
        <f>N487/9</f>
        <v/>
      </c>
      <c r="N487" s="6" t="n">
        <v>7</v>
      </c>
      <c r="O487" s="6" t="n">
        <v>1</v>
      </c>
      <c r="P487" s="6" t="n">
        <v>1</v>
      </c>
      <c r="Q487" s="7">
        <f>R487/11</f>
        <v/>
      </c>
      <c r="R487" s="6" t="n">
        <v>5</v>
      </c>
      <c r="S487" s="6" t="n">
        <v>3</v>
      </c>
      <c r="T487" s="6" t="n">
        <v>3</v>
      </c>
      <c r="U487" s="7">
        <f>V487/14</f>
        <v/>
      </c>
      <c r="V487" s="6" t="n">
        <v>2</v>
      </c>
      <c r="W487" s="6" t="n">
        <v>12</v>
      </c>
      <c r="X487" s="6" t="n">
        <v>0</v>
      </c>
      <c r="Y487" s="8" t="n">
        <v>35.3</v>
      </c>
      <c r="Z487" s="9" t="inlineStr">
        <is>
          <t>Success</t>
        </is>
      </c>
      <c r="AA487" s="2" t="inlineStr">
        <is>
          <t>2026-10-08 22:56:59</t>
        </is>
      </c>
    </row>
    <row r="488" ht="21.95" customHeight="1">
      <c r="A488" s="2" t="n">
        <v>487</v>
      </c>
      <c r="B488" s="31" t="inlineStr">
        <is>
          <t>http://www.pbforbook.com</t>
        </is>
      </c>
      <c r="C488" s="2" t="inlineStr">
        <is>
          <t>ช๊อปปิ้ง</t>
        </is>
      </c>
      <c r="D488" s="10">
        <f>F488/71</f>
        <v/>
      </c>
      <c r="E488" s="11">
        <f>IF(D488&gt;=0.9,"ดีเยี่ยม",IF(D488&gt;=0.7,"ดี",IF(D488&gt;=0.5,"พอใช้","ต้องปรับปรุง")))</f>
        <v/>
      </c>
      <c r="F488" s="6">
        <f>J488+N488+R488+V488</f>
        <v/>
      </c>
      <c r="G488" s="6">
        <f>K488+O488+S488+W488</f>
        <v/>
      </c>
      <c r="H488" s="6">
        <f>L488+P488+T488+X488</f>
        <v/>
      </c>
      <c r="I488" s="7">
        <f>J488/37</f>
        <v/>
      </c>
      <c r="J488" s="6" t="n">
        <v>30</v>
      </c>
      <c r="K488" s="6" t="n">
        <v>6</v>
      </c>
      <c r="L488" s="6" t="n">
        <v>1</v>
      </c>
      <c r="M488" s="7">
        <f>N488/9</f>
        <v/>
      </c>
      <c r="N488" s="6" t="n">
        <v>6</v>
      </c>
      <c r="O488" s="6" t="n">
        <v>3</v>
      </c>
      <c r="P488" s="6" t="n">
        <v>0</v>
      </c>
      <c r="Q488" s="7">
        <f>R488/11</f>
        <v/>
      </c>
      <c r="R488" s="6" t="n">
        <v>0</v>
      </c>
      <c r="S488" s="6" t="n">
        <v>4</v>
      </c>
      <c r="T488" s="6" t="n">
        <v>7</v>
      </c>
      <c r="U488" s="7">
        <f>V488/14</f>
        <v/>
      </c>
      <c r="V488" s="6" t="n">
        <v>1</v>
      </c>
      <c r="W488" s="6" t="n">
        <v>12</v>
      </c>
      <c r="X488" s="6" t="n">
        <v>1</v>
      </c>
      <c r="Y488" s="8" t="n">
        <v>76.81999999999999</v>
      </c>
      <c r="Z488" s="9" t="inlineStr">
        <is>
          <t>Success</t>
        </is>
      </c>
      <c r="AA488" s="2" t="inlineStr">
        <is>
          <t>2026-10-08 22:58:16</t>
        </is>
      </c>
    </row>
    <row r="489" ht="21.95" customHeight="1">
      <c r="A489" s="2" t="n">
        <v>488</v>
      </c>
      <c r="B489" s="31" t="inlineStr">
        <is>
          <t>http://www.gimyong.com</t>
        </is>
      </c>
      <c r="C489" s="2" t="inlineStr">
        <is>
          <t>ท่องเที่ยว</t>
        </is>
      </c>
      <c r="D489" s="4">
        <f>F489/71</f>
        <v/>
      </c>
      <c r="E489" s="5">
        <f>IF(D489&gt;=0.9,"ดีเยี่ยม",IF(D489&gt;=0.7,"ดี",IF(D489&gt;=0.5,"พอใช้","ต้องปรับปรุง")))</f>
        <v/>
      </c>
      <c r="F489" s="6">
        <f>J489+N489+R489+V489</f>
        <v/>
      </c>
      <c r="G489" s="6">
        <f>K489+O489+S489+W489</f>
        <v/>
      </c>
      <c r="H489" s="6">
        <f>L489+P489+T489+X489</f>
        <v/>
      </c>
      <c r="I489" s="7">
        <f>J489/37</f>
        <v/>
      </c>
      <c r="J489" s="6" t="n">
        <v>36</v>
      </c>
      <c r="K489" s="6" t="n">
        <v>1</v>
      </c>
      <c r="L489" s="6" t="n">
        <v>0</v>
      </c>
      <c r="M489" s="7">
        <f>N489/9</f>
        <v/>
      </c>
      <c r="N489" s="6" t="n">
        <v>9</v>
      </c>
      <c r="O489" s="6" t="n">
        <v>0</v>
      </c>
      <c r="P489" s="6" t="n">
        <v>0</v>
      </c>
      <c r="Q489" s="7">
        <f>R489/11</f>
        <v/>
      </c>
      <c r="R489" s="6" t="n">
        <v>5</v>
      </c>
      <c r="S489" s="6" t="n">
        <v>3</v>
      </c>
      <c r="T489" s="6" t="n">
        <v>3</v>
      </c>
      <c r="U489" s="7">
        <f>V489/14</f>
        <v/>
      </c>
      <c r="V489" s="6" t="n">
        <v>2</v>
      </c>
      <c r="W489" s="6" t="n">
        <v>12</v>
      </c>
      <c r="X489" s="6" t="n">
        <v>0</v>
      </c>
      <c r="Y489" s="8" t="n">
        <v>94.51000000000001</v>
      </c>
      <c r="Z489" s="9" t="inlineStr">
        <is>
          <t>Success</t>
        </is>
      </c>
      <c r="AA489" s="2" t="inlineStr">
        <is>
          <t>2026-10-08 22:59:51</t>
        </is>
      </c>
    </row>
    <row r="490" ht="21.95" customHeight="1">
      <c r="A490" s="2" t="n">
        <v>489</v>
      </c>
      <c r="B490" s="31" t="inlineStr">
        <is>
          <t>http://www.bannok.com</t>
        </is>
      </c>
      <c r="C490" s="2" t="inlineStr">
        <is>
          <t>หน่วยงานราชการ,องค์กร</t>
        </is>
      </c>
      <c r="D490" s="10">
        <f>F490/71</f>
        <v/>
      </c>
      <c r="E490" s="11">
        <f>IF(D490&gt;=0.9,"ดีเยี่ยม",IF(D490&gt;=0.7,"ดี",IF(D490&gt;=0.5,"พอใช้","ต้องปรับปรุง")))</f>
        <v/>
      </c>
      <c r="F490" s="6">
        <f>J490+N490+R490+V490</f>
        <v/>
      </c>
      <c r="G490" s="6">
        <f>K490+O490+S490+W490</f>
        <v/>
      </c>
      <c r="H490" s="6">
        <f>L490+P490+T490+X490</f>
        <v/>
      </c>
      <c r="I490" s="7">
        <f>J490/37</f>
        <v/>
      </c>
      <c r="J490" s="6" t="n">
        <v>33</v>
      </c>
      <c r="K490" s="6" t="n">
        <v>4</v>
      </c>
      <c r="L490" s="6" t="n">
        <v>0</v>
      </c>
      <c r="M490" s="7">
        <f>N490/9</f>
        <v/>
      </c>
      <c r="N490" s="6" t="n">
        <v>8</v>
      </c>
      <c r="O490" s="6" t="n">
        <v>1</v>
      </c>
      <c r="P490" s="6" t="n">
        <v>0</v>
      </c>
      <c r="Q490" s="7">
        <f>R490/11</f>
        <v/>
      </c>
      <c r="R490" s="6" t="n">
        <v>3</v>
      </c>
      <c r="S490" s="6" t="n">
        <v>3</v>
      </c>
      <c r="T490" s="6" t="n">
        <v>5</v>
      </c>
      <c r="U490" s="7">
        <f>V490/14</f>
        <v/>
      </c>
      <c r="V490" s="6" t="n">
        <v>2</v>
      </c>
      <c r="W490" s="6" t="n">
        <v>12</v>
      </c>
      <c r="X490" s="6" t="n">
        <v>0</v>
      </c>
      <c r="Y490" s="8" t="n">
        <v>49.22</v>
      </c>
      <c r="Z490" s="9" t="inlineStr">
        <is>
          <t>Success</t>
        </is>
      </c>
      <c r="AA490" s="2" t="inlineStr">
        <is>
          <t>2026-10-08 23:00:40</t>
        </is>
      </c>
    </row>
    <row r="491" ht="21.95" customHeight="1">
      <c r="A491" s="2" t="n">
        <v>490</v>
      </c>
      <c r="B491" s="31" t="inlineStr">
        <is>
          <t>http://www.soccer-league.in.th</t>
        </is>
      </c>
      <c r="C491" s="2" t="inlineStr">
        <is>
          <t>กีฬา</t>
        </is>
      </c>
      <c r="D491" s="25">
        <f>F491/71</f>
        <v/>
      </c>
      <c r="E491" s="26">
        <f>IF(D491&gt;=0.9,"ดีเยี่ยม",IF(D491&gt;=0.7,"ดี",IF(D491&gt;=0.5,"พอใช้","ต้องปรับปรุง")))</f>
        <v/>
      </c>
      <c r="F491" s="6">
        <f>J491+N491+R491+V491</f>
        <v/>
      </c>
      <c r="G491" s="6">
        <f>K491+O491+S491+W491</f>
        <v/>
      </c>
      <c r="H491" s="6">
        <f>L491+P491+T491+X491</f>
        <v/>
      </c>
      <c r="I491" s="7">
        <f>J491/37</f>
        <v/>
      </c>
      <c r="J491" s="6" t="n">
        <v>0</v>
      </c>
      <c r="K491" s="6" t="n">
        <v>37</v>
      </c>
      <c r="L491" s="6" t="n">
        <v>0</v>
      </c>
      <c r="M491" s="7">
        <f>N491/9</f>
        <v/>
      </c>
      <c r="N491" s="6" t="n">
        <v>0</v>
      </c>
      <c r="O491" s="6" t="n">
        <v>9</v>
      </c>
      <c r="P491" s="6" t="n">
        <v>0</v>
      </c>
      <c r="Q491" s="7">
        <f>R491/11</f>
        <v/>
      </c>
      <c r="R491" s="6" t="n">
        <v>0</v>
      </c>
      <c r="S491" s="6" t="n">
        <v>11</v>
      </c>
      <c r="T491" s="6" t="n">
        <v>0</v>
      </c>
      <c r="U491" s="7">
        <f>V491/14</f>
        <v/>
      </c>
      <c r="V491" s="6" t="n">
        <v>0</v>
      </c>
      <c r="W491" s="6" t="n">
        <v>14</v>
      </c>
      <c r="X491" s="6" t="n">
        <v>0</v>
      </c>
      <c r="Y491" s="8" t="n">
        <v>0.04</v>
      </c>
      <c r="Z491" s="27" t="inlineStr">
        <is>
          <t>Failed (DNS Error (หาเว็บไม่เจอ))</t>
        </is>
      </c>
      <c r="AA491" s="2" t="inlineStr">
        <is>
          <t>2026-10-21 00:13:37</t>
        </is>
      </c>
    </row>
    <row r="492" ht="21.95" customHeight="1">
      <c r="A492" s="2" t="n">
        <v>491</v>
      </c>
      <c r="B492" s="31" t="inlineStr">
        <is>
          <t>http://www.thaivisa.com</t>
        </is>
      </c>
      <c r="C492" s="2" t="inlineStr">
        <is>
          <t>บุคคล-สังคม</t>
        </is>
      </c>
      <c r="D492" s="10">
        <f>F492/71</f>
        <v/>
      </c>
      <c r="E492" s="11">
        <f>IF(D492&gt;=0.9,"ดีเยี่ยม",IF(D492&gt;=0.7,"ดี",IF(D492&gt;=0.5,"พอใช้","ต้องปรับปรุง")))</f>
        <v/>
      </c>
      <c r="F492" s="6">
        <f>J492+N492+R492+V492</f>
        <v/>
      </c>
      <c r="G492" s="6">
        <f>K492+O492+S492+W492</f>
        <v/>
      </c>
      <c r="H492" s="6">
        <f>L492+P492+T492+X492</f>
        <v/>
      </c>
      <c r="I492" s="7">
        <f>J492/37</f>
        <v/>
      </c>
      <c r="J492" s="6" t="n">
        <v>37</v>
      </c>
      <c r="K492" s="6" t="n">
        <v>0</v>
      </c>
      <c r="L492" s="6" t="n">
        <v>0</v>
      </c>
      <c r="M492" s="7">
        <f>N492/9</f>
        <v/>
      </c>
      <c r="N492" s="6" t="n">
        <v>0</v>
      </c>
      <c r="O492" s="6" t="n">
        <v>0</v>
      </c>
      <c r="P492" s="6" t="n">
        <v>9</v>
      </c>
      <c r="Q492" s="7">
        <f>R492/11</f>
        <v/>
      </c>
      <c r="R492" s="6" t="n">
        <v>3</v>
      </c>
      <c r="S492" s="6" t="n">
        <v>3</v>
      </c>
      <c r="T492" s="6" t="n">
        <v>5</v>
      </c>
      <c r="U492" s="7">
        <f>V492/14</f>
        <v/>
      </c>
      <c r="V492" s="6" t="n">
        <v>2</v>
      </c>
      <c r="W492" s="6" t="n">
        <v>12</v>
      </c>
      <c r="X492" s="6" t="n">
        <v>0</v>
      </c>
      <c r="Y492" s="8" t="n">
        <v>120.52</v>
      </c>
      <c r="Z492" s="9" t="inlineStr">
        <is>
          <t>Success</t>
        </is>
      </c>
      <c r="AA492" s="2" t="inlineStr">
        <is>
          <t>2026-10-08 23:03:18</t>
        </is>
      </c>
    </row>
    <row r="493" ht="21.95" customHeight="1">
      <c r="A493" s="2" t="n">
        <v>492</v>
      </c>
      <c r="B493" s="31" t="inlineStr">
        <is>
          <t>http://www.ops.go.th</t>
        </is>
      </c>
      <c r="C493" s="2" t="inlineStr">
        <is>
          <t>หน่วยงานราชการ,องค์กร</t>
        </is>
      </c>
      <c r="D493" s="10">
        <f>F493/71</f>
        <v/>
      </c>
      <c r="E493" s="11">
        <f>IF(D493&gt;=0.9,"ดีเยี่ยม",IF(D493&gt;=0.7,"ดี",IF(D493&gt;=0.5,"พอใช้","ต้องปรับปรุง")))</f>
        <v/>
      </c>
      <c r="F493" s="6">
        <f>J493+N493+R493+V493</f>
        <v/>
      </c>
      <c r="G493" s="6">
        <f>K493+O493+S493+W493</f>
        <v/>
      </c>
      <c r="H493" s="6">
        <f>L493+P493+T493+X493</f>
        <v/>
      </c>
      <c r="I493" s="7">
        <f>J493/37</f>
        <v/>
      </c>
      <c r="J493" s="6" t="n">
        <v>34</v>
      </c>
      <c r="K493" s="6" t="n">
        <v>2</v>
      </c>
      <c r="L493" s="6" t="n">
        <v>1</v>
      </c>
      <c r="M493" s="7">
        <f>N493/9</f>
        <v/>
      </c>
      <c r="N493" s="6" t="n">
        <v>7</v>
      </c>
      <c r="O493" s="6" t="n">
        <v>2</v>
      </c>
      <c r="P493" s="6" t="n">
        <v>0</v>
      </c>
      <c r="Q493" s="7">
        <f>R493/11</f>
        <v/>
      </c>
      <c r="R493" s="6" t="n">
        <v>2</v>
      </c>
      <c r="S493" s="6" t="n">
        <v>4</v>
      </c>
      <c r="T493" s="6" t="n">
        <v>5</v>
      </c>
      <c r="U493" s="7">
        <f>V493/14</f>
        <v/>
      </c>
      <c r="V493" s="6" t="n">
        <v>3</v>
      </c>
      <c r="W493" s="6" t="n">
        <v>11</v>
      </c>
      <c r="X493" s="6" t="n">
        <v>0</v>
      </c>
      <c r="Y493" s="8" t="n">
        <v>46.88</v>
      </c>
      <c r="Z493" s="9" t="inlineStr">
        <is>
          <t>Success</t>
        </is>
      </c>
      <c r="AA493" s="2" t="inlineStr">
        <is>
          <t>2026-10-08 23:04:05</t>
        </is>
      </c>
    </row>
    <row r="494" ht="21.95" customHeight="1">
      <c r="A494" s="2" t="n">
        <v>493</v>
      </c>
      <c r="B494" s="31" t="inlineStr">
        <is>
          <t>http://www.jssr.co.th</t>
        </is>
      </c>
      <c r="C494" s="2" t="inlineStr">
        <is>
          <t>ธุรกิจ</t>
        </is>
      </c>
      <c r="D494" s="10">
        <f>F494/71</f>
        <v/>
      </c>
      <c r="E494" s="11">
        <f>IF(D494&gt;=0.9,"ดีเยี่ยม",IF(D494&gt;=0.7,"ดี",IF(D494&gt;=0.5,"พอใช้","ต้องปรับปรุง")))</f>
        <v/>
      </c>
      <c r="F494" s="6">
        <f>J494+N494+R494+V494</f>
        <v/>
      </c>
      <c r="G494" s="6">
        <f>K494+O494+S494+W494</f>
        <v/>
      </c>
      <c r="H494" s="6">
        <f>L494+P494+T494+X494</f>
        <v/>
      </c>
      <c r="I494" s="7">
        <f>J494/37</f>
        <v/>
      </c>
      <c r="J494" s="6" t="n">
        <v>31</v>
      </c>
      <c r="K494" s="6" t="n">
        <v>6</v>
      </c>
      <c r="L494" s="6" t="n">
        <v>0</v>
      </c>
      <c r="M494" s="7">
        <f>N494/9</f>
        <v/>
      </c>
      <c r="N494" s="6" t="n">
        <v>8</v>
      </c>
      <c r="O494" s="6" t="n">
        <v>1</v>
      </c>
      <c r="P494" s="6" t="n">
        <v>0</v>
      </c>
      <c r="Q494" s="7">
        <f>R494/11</f>
        <v/>
      </c>
      <c r="R494" s="6" t="n">
        <v>3</v>
      </c>
      <c r="S494" s="6" t="n">
        <v>4</v>
      </c>
      <c r="T494" s="6" t="n">
        <v>4</v>
      </c>
      <c r="U494" s="7">
        <f>V494/14</f>
        <v/>
      </c>
      <c r="V494" s="6" t="n">
        <v>2</v>
      </c>
      <c r="W494" s="6" t="n">
        <v>12</v>
      </c>
      <c r="X494" s="6" t="n">
        <v>0</v>
      </c>
      <c r="Y494" s="8" t="n">
        <v>38.5</v>
      </c>
      <c r="Z494" s="9" t="inlineStr">
        <is>
          <t>Success</t>
        </is>
      </c>
      <c r="AA494" s="2" t="inlineStr">
        <is>
          <t>2026-10-09 03:32:21</t>
        </is>
      </c>
    </row>
    <row r="495" ht="21.95" customHeight="1">
      <c r="A495" s="2" t="n">
        <v>494</v>
      </c>
      <c r="B495" s="31" t="inlineStr">
        <is>
          <t>http://www.bossranchu.com</t>
        </is>
      </c>
      <c r="C495" s="2" t="inlineStr">
        <is>
          <t>บุคคล-สังคม</t>
        </is>
      </c>
      <c r="D495" s="25">
        <f>F495/71</f>
        <v/>
      </c>
      <c r="E495" s="26">
        <f>IF(D495&gt;=0.9,"ดีเยี่ยม",IF(D495&gt;=0.7,"ดี",IF(D495&gt;=0.5,"พอใช้","ต้องปรับปรุง")))</f>
        <v/>
      </c>
      <c r="F495" s="6">
        <f>J495+N495+R495+V495</f>
        <v/>
      </c>
      <c r="G495" s="6">
        <f>K495+O495+S495+W495</f>
        <v/>
      </c>
      <c r="H495" s="6">
        <f>L495+P495+T495+X495</f>
        <v/>
      </c>
      <c r="I495" s="7">
        <f>J495/37</f>
        <v/>
      </c>
      <c r="J495" s="6" t="n">
        <v>0</v>
      </c>
      <c r="K495" s="6" t="n">
        <v>37</v>
      </c>
      <c r="L495" s="6" t="n">
        <v>0</v>
      </c>
      <c r="M495" s="7">
        <f>N495/9</f>
        <v/>
      </c>
      <c r="N495" s="6" t="n">
        <v>0</v>
      </c>
      <c r="O495" s="6" t="n">
        <v>9</v>
      </c>
      <c r="P495" s="6" t="n">
        <v>0</v>
      </c>
      <c r="Q495" s="7">
        <f>R495/11</f>
        <v/>
      </c>
      <c r="R495" s="6" t="n">
        <v>0</v>
      </c>
      <c r="S495" s="6" t="n">
        <v>11</v>
      </c>
      <c r="T495" s="6" t="n">
        <v>0</v>
      </c>
      <c r="U495" s="7">
        <f>V495/14</f>
        <v/>
      </c>
      <c r="V495" s="6" t="n">
        <v>0</v>
      </c>
      <c r="W495" s="6" t="n">
        <v>14</v>
      </c>
      <c r="X495" s="6" t="n">
        <v>0</v>
      </c>
      <c r="Y495" s="8" t="n">
        <v>0.3</v>
      </c>
      <c r="Z495" s="27" t="inlineStr">
        <is>
          <t>Failed (DNS Error (หาเว็บไม่เจอ))</t>
        </is>
      </c>
      <c r="AA495" s="2" t="inlineStr">
        <is>
          <t>2026-10-21 00:13:37</t>
        </is>
      </c>
    </row>
    <row r="496" ht="21.95" customHeight="1">
      <c r="A496" s="2" t="n">
        <v>495</v>
      </c>
      <c r="B496" s="31" t="inlineStr">
        <is>
          <t>http://www.thaionlinemarket.com</t>
        </is>
      </c>
      <c r="C496" s="2" t="inlineStr">
        <is>
          <t>ช๊อปปิ้ง</t>
        </is>
      </c>
      <c r="D496" s="10">
        <f>F496/71</f>
        <v/>
      </c>
      <c r="E496" s="11">
        <f>IF(D496&gt;=0.9,"ดีเยี่ยม",IF(D496&gt;=0.7,"ดี",IF(D496&gt;=0.5,"พอใช้","ต้องปรับปรุง")))</f>
        <v/>
      </c>
      <c r="F496" s="6">
        <f>J496+N496+R496+V496</f>
        <v/>
      </c>
      <c r="G496" s="6">
        <f>K496+O496+S496+W496</f>
        <v/>
      </c>
      <c r="H496" s="6">
        <f>L496+P496+T496+X496</f>
        <v/>
      </c>
      <c r="I496" s="7">
        <f>J496/37</f>
        <v/>
      </c>
      <c r="J496" s="6" t="n">
        <v>32</v>
      </c>
      <c r="K496" s="6" t="n">
        <v>5</v>
      </c>
      <c r="L496" s="6" t="n">
        <v>0</v>
      </c>
      <c r="M496" s="7">
        <f>N496/9</f>
        <v/>
      </c>
      <c r="N496" s="6" t="n">
        <v>7</v>
      </c>
      <c r="O496" s="6" t="n">
        <v>2</v>
      </c>
      <c r="P496" s="6" t="n">
        <v>0</v>
      </c>
      <c r="Q496" s="7">
        <f>R496/11</f>
        <v/>
      </c>
      <c r="R496" s="6" t="n">
        <v>7</v>
      </c>
      <c r="S496" s="6" t="n">
        <v>3</v>
      </c>
      <c r="T496" s="6" t="n">
        <v>1</v>
      </c>
      <c r="U496" s="7">
        <f>V496/14</f>
        <v/>
      </c>
      <c r="V496" s="6" t="n">
        <v>3</v>
      </c>
      <c r="W496" s="6" t="n">
        <v>11</v>
      </c>
      <c r="X496" s="6" t="n">
        <v>0</v>
      </c>
      <c r="Y496" s="8" t="n">
        <v>21.91</v>
      </c>
      <c r="Z496" s="9" t="inlineStr">
        <is>
          <t>Success</t>
        </is>
      </c>
      <c r="AA496" s="2" t="inlineStr">
        <is>
          <t>2026-10-09 10:48:38</t>
        </is>
      </c>
    </row>
    <row r="497" ht="21.95" customHeight="1">
      <c r="A497" s="2" t="n">
        <v>496</v>
      </c>
      <c r="B497" s="31" t="inlineStr">
        <is>
          <t>http://www.thaibabyname.com</t>
        </is>
      </c>
      <c r="C497" s="2" t="inlineStr">
        <is>
          <t>บันเทิง</t>
        </is>
      </c>
      <c r="D497" s="10">
        <f>F497/71</f>
        <v/>
      </c>
      <c r="E497" s="11">
        <f>IF(D497&gt;=0.9,"ดีเยี่ยม",IF(D497&gt;=0.7,"ดี",IF(D497&gt;=0.5,"พอใช้","ต้องปรับปรุง")))</f>
        <v/>
      </c>
      <c r="F497" s="6">
        <f>J497+N497+R497+V497</f>
        <v/>
      </c>
      <c r="G497" s="6">
        <f>K497+O497+S497+W497</f>
        <v/>
      </c>
      <c r="H497" s="6">
        <f>L497+P497+T497+X497</f>
        <v/>
      </c>
      <c r="I497" s="7">
        <f>J497/37</f>
        <v/>
      </c>
      <c r="J497" s="6" t="n">
        <v>35</v>
      </c>
      <c r="K497" s="6" t="n">
        <v>2</v>
      </c>
      <c r="L497" s="6" t="n">
        <v>0</v>
      </c>
      <c r="M497" s="7">
        <f>N497/9</f>
        <v/>
      </c>
      <c r="N497" s="6" t="n">
        <v>7</v>
      </c>
      <c r="O497" s="6" t="n">
        <v>2</v>
      </c>
      <c r="P497" s="6" t="n">
        <v>0</v>
      </c>
      <c r="Q497" s="7">
        <f>R497/11</f>
        <v/>
      </c>
      <c r="R497" s="6" t="n">
        <v>4</v>
      </c>
      <c r="S497" s="6" t="n">
        <v>4</v>
      </c>
      <c r="T497" s="6" t="n">
        <v>3</v>
      </c>
      <c r="U497" s="7">
        <f>V497/14</f>
        <v/>
      </c>
      <c r="V497" s="6" t="n">
        <v>1</v>
      </c>
      <c r="W497" s="6" t="n">
        <v>12</v>
      </c>
      <c r="X497" s="6" t="n">
        <v>1</v>
      </c>
      <c r="Y497" s="8" t="n">
        <v>15.76</v>
      </c>
      <c r="Z497" s="9" t="inlineStr">
        <is>
          <t>Success</t>
        </is>
      </c>
      <c r="AA497" s="2" t="inlineStr">
        <is>
          <t>2026-10-09 10:48:54</t>
        </is>
      </c>
    </row>
    <row r="498" ht="21.95" customHeight="1">
      <c r="A498" s="2" t="n">
        <v>497</v>
      </c>
      <c r="B498" s="31" t="inlineStr">
        <is>
          <t>http://www.nestle.co.th</t>
        </is>
      </c>
      <c r="C498" s="2" t="inlineStr">
        <is>
          <t>ธุรกิจ</t>
        </is>
      </c>
      <c r="D498" s="4">
        <f>F498/71</f>
        <v/>
      </c>
      <c r="E498" s="5">
        <f>IF(D498&gt;=0.9,"ดีเยี่ยม",IF(D498&gt;=0.7,"ดี",IF(D498&gt;=0.5,"พอใช้","ต้องปรับปรุง")))</f>
        <v/>
      </c>
      <c r="F498" s="6">
        <f>J498+N498+R498+V498</f>
        <v/>
      </c>
      <c r="G498" s="6">
        <f>K498+O498+S498+W498</f>
        <v/>
      </c>
      <c r="H498" s="6">
        <f>L498+P498+T498+X498</f>
        <v/>
      </c>
      <c r="I498" s="7">
        <f>J498/37</f>
        <v/>
      </c>
      <c r="J498" s="6" t="n">
        <v>37</v>
      </c>
      <c r="K498" s="6" t="n">
        <v>0</v>
      </c>
      <c r="L498" s="6" t="n">
        <v>0</v>
      </c>
      <c r="M498" s="7">
        <f>N498/9</f>
        <v/>
      </c>
      <c r="N498" s="6" t="n">
        <v>6</v>
      </c>
      <c r="O498" s="6" t="n">
        <v>3</v>
      </c>
      <c r="P498" s="6" t="n">
        <v>0</v>
      </c>
      <c r="Q498" s="7">
        <f>R498/11</f>
        <v/>
      </c>
      <c r="R498" s="6" t="n">
        <v>7</v>
      </c>
      <c r="S498" s="6" t="n">
        <v>2</v>
      </c>
      <c r="T498" s="6" t="n">
        <v>2</v>
      </c>
      <c r="U498" s="7">
        <f>V498/14</f>
        <v/>
      </c>
      <c r="V498" s="6" t="n">
        <v>9</v>
      </c>
      <c r="W498" s="6" t="n">
        <v>5</v>
      </c>
      <c r="X498" s="6" t="n">
        <v>0</v>
      </c>
      <c r="Y498" s="8" t="n">
        <v>15.49</v>
      </c>
      <c r="Z498" s="9" t="inlineStr">
        <is>
          <t>Success</t>
        </is>
      </c>
      <c r="AA498" s="2" t="inlineStr">
        <is>
          <t>2026-10-09 10:49:09</t>
        </is>
      </c>
    </row>
    <row r="499" ht="21.95" customHeight="1">
      <c r="A499" s="2" t="n">
        <v>498</v>
      </c>
      <c r="B499" s="31" t="inlineStr">
        <is>
          <t>http://eestud.kku.ac.th</t>
        </is>
      </c>
      <c r="C499" s="2" t="inlineStr">
        <is>
          <t>การศึกษา</t>
        </is>
      </c>
      <c r="D499" s="25">
        <f>F499/71</f>
        <v/>
      </c>
      <c r="E499" s="26">
        <f>IF(D499&gt;=0.9,"ดีเยี่ยม",IF(D499&gt;=0.7,"ดี",IF(D499&gt;=0.5,"พอใช้","ต้องปรับปรุง")))</f>
        <v/>
      </c>
      <c r="F499" s="6">
        <f>J499+N499+R499+V499</f>
        <v/>
      </c>
      <c r="G499" s="6">
        <f>K499+O499+S499+W499</f>
        <v/>
      </c>
      <c r="H499" s="6">
        <f>L499+P499+T499+X499</f>
        <v/>
      </c>
      <c r="I499" s="7">
        <f>J499/37</f>
        <v/>
      </c>
      <c r="J499" s="6" t="n">
        <v>0</v>
      </c>
      <c r="K499" s="6" t="n">
        <v>37</v>
      </c>
      <c r="L499" s="6" t="n">
        <v>0</v>
      </c>
      <c r="M499" s="7">
        <f>N499/9</f>
        <v/>
      </c>
      <c r="N499" s="6" t="n">
        <v>0</v>
      </c>
      <c r="O499" s="6" t="n">
        <v>9</v>
      </c>
      <c r="P499" s="6" t="n">
        <v>0</v>
      </c>
      <c r="Q499" s="7">
        <f>R499/11</f>
        <v/>
      </c>
      <c r="R499" s="6" t="n">
        <v>0</v>
      </c>
      <c r="S499" s="6" t="n">
        <v>11</v>
      </c>
      <c r="T499" s="6" t="n">
        <v>0</v>
      </c>
      <c r="U499" s="7">
        <f>V499/14</f>
        <v/>
      </c>
      <c r="V499" s="6" t="n">
        <v>0</v>
      </c>
      <c r="W499" s="6" t="n">
        <v>14</v>
      </c>
      <c r="X499" s="6" t="n">
        <v>0</v>
      </c>
      <c r="Y499" s="8" t="n">
        <v>20.79</v>
      </c>
      <c r="Z499" s="27" t="inlineStr">
        <is>
          <t>Failed (Connection Reset (Server ตัดสาย))</t>
        </is>
      </c>
      <c r="AA499" s="2" t="inlineStr">
        <is>
          <t>2026-10-21 00:13:37</t>
        </is>
      </c>
    </row>
    <row r="500" ht="21.95" customHeight="1">
      <c r="A500" s="2" t="n">
        <v>499</v>
      </c>
      <c r="B500" s="31" t="inlineStr">
        <is>
          <t>http://sirichai.co.th</t>
        </is>
      </c>
      <c r="C500" s="2" t="inlineStr">
        <is>
          <t>ธุรกิจ</t>
        </is>
      </c>
      <c r="D500" s="25">
        <f>F500/71</f>
        <v/>
      </c>
      <c r="E500" s="26">
        <f>IF(D500&gt;=0.9,"ดีเยี่ยม",IF(D500&gt;=0.7,"ดี",IF(D500&gt;=0.5,"พอใช้","ต้องปรับปรุง")))</f>
        <v/>
      </c>
      <c r="F500" s="6">
        <f>J500+N500+R500+V500</f>
        <v/>
      </c>
      <c r="G500" s="6">
        <f>K500+O500+S500+W500</f>
        <v/>
      </c>
      <c r="H500" s="6">
        <f>L500+P500+T500+X500</f>
        <v/>
      </c>
      <c r="I500" s="7">
        <f>J500/37</f>
        <v/>
      </c>
      <c r="J500" s="6" t="n">
        <v>0</v>
      </c>
      <c r="K500" s="6" t="n">
        <v>37</v>
      </c>
      <c r="L500" s="6" t="n">
        <v>0</v>
      </c>
      <c r="M500" s="7">
        <f>N500/9</f>
        <v/>
      </c>
      <c r="N500" s="6" t="n">
        <v>0</v>
      </c>
      <c r="O500" s="6" t="n">
        <v>9</v>
      </c>
      <c r="P500" s="6" t="n">
        <v>0</v>
      </c>
      <c r="Q500" s="7">
        <f>R500/11</f>
        <v/>
      </c>
      <c r="R500" s="6" t="n">
        <v>0</v>
      </c>
      <c r="S500" s="6" t="n">
        <v>11</v>
      </c>
      <c r="T500" s="6" t="n">
        <v>0</v>
      </c>
      <c r="U500" s="7">
        <f>V500/14</f>
        <v/>
      </c>
      <c r="V500" s="6" t="n">
        <v>0</v>
      </c>
      <c r="W500" s="6" t="n">
        <v>14</v>
      </c>
      <c r="X500" s="6" t="n">
        <v>0</v>
      </c>
      <c r="Y500" s="8" t="n">
        <v>0.06</v>
      </c>
      <c r="Z500" s="27" t="inlineStr">
        <is>
          <t>Failed (DNS Error (หาเว็บไม่เจอ))</t>
        </is>
      </c>
      <c r="AA500" s="2" t="inlineStr">
        <is>
          <t>2026-10-21 00:13:37</t>
        </is>
      </c>
    </row>
    <row r="501" ht="21.95" customHeight="1">
      <c r="A501" s="2" t="n">
        <v>500</v>
      </c>
      <c r="B501" s="31" t="inlineStr">
        <is>
          <t>http://www.muangthai.co.th</t>
        </is>
      </c>
      <c r="C501" s="2" t="inlineStr">
        <is>
          <t>ธนาคาร-การเงิน</t>
        </is>
      </c>
      <c r="D501" s="4">
        <f>F501/71</f>
        <v/>
      </c>
      <c r="E501" s="5">
        <f>IF(D501&gt;=0.9,"ดีเยี่ยม",IF(D501&gt;=0.7,"ดี",IF(D501&gt;=0.5,"พอใช้","ต้องปรับปรุง")))</f>
        <v/>
      </c>
      <c r="F501" s="6">
        <f>J501+N501+R501+V501</f>
        <v/>
      </c>
      <c r="G501" s="6">
        <f>K501+O501+S501+W501</f>
        <v/>
      </c>
      <c r="H501" s="6">
        <f>L501+P501+T501+X501</f>
        <v/>
      </c>
      <c r="I501" s="7">
        <f>J501/37</f>
        <v/>
      </c>
      <c r="J501" s="6" t="n">
        <v>37</v>
      </c>
      <c r="K501" s="6" t="n">
        <v>0</v>
      </c>
      <c r="L501" s="6" t="n">
        <v>0</v>
      </c>
      <c r="M501" s="7">
        <f>N501/9</f>
        <v/>
      </c>
      <c r="N501" s="6" t="n">
        <v>6</v>
      </c>
      <c r="O501" s="6" t="n">
        <v>3</v>
      </c>
      <c r="P501" s="6" t="n">
        <v>0</v>
      </c>
      <c r="Q501" s="7">
        <f>R501/11</f>
        <v/>
      </c>
      <c r="R501" s="6" t="n">
        <v>5</v>
      </c>
      <c r="S501" s="6" t="n">
        <v>2</v>
      </c>
      <c r="T501" s="6" t="n">
        <v>4</v>
      </c>
      <c r="U501" s="7">
        <f>V501/14</f>
        <v/>
      </c>
      <c r="V501" s="6" t="n">
        <v>2</v>
      </c>
      <c r="W501" s="6" t="n">
        <v>12</v>
      </c>
      <c r="X501" s="6" t="n">
        <v>0</v>
      </c>
      <c r="Y501" s="8" t="n">
        <v>20.69</v>
      </c>
      <c r="Z501" s="9" t="inlineStr">
        <is>
          <t>Success</t>
        </is>
      </c>
      <c r="AA501" s="2" t="inlineStr">
        <is>
          <t>2026-10-09 10:50:41</t>
        </is>
      </c>
    </row>
    <row r="502" ht="21.95" customHeight="1">
      <c r="A502" s="2" t="n">
        <v>501</v>
      </c>
      <c r="B502" s="31" t="inlineStr">
        <is>
          <t>http://www.thainn.com</t>
        </is>
      </c>
      <c r="C502" s="2" t="inlineStr">
        <is>
          <t>บุคคล-สังคม</t>
        </is>
      </c>
      <c r="D502" s="10">
        <f>F502/71</f>
        <v/>
      </c>
      <c r="E502" s="11">
        <f>IF(D502&gt;=0.9,"ดีเยี่ยม",IF(D502&gt;=0.7,"ดี",IF(D502&gt;=0.5,"พอใช้","ต้องปรับปรุง")))</f>
        <v/>
      </c>
      <c r="F502" s="6">
        <f>J502+N502+R502+V502</f>
        <v/>
      </c>
      <c r="G502" s="6">
        <f>K502+O502+S502+W502</f>
        <v/>
      </c>
      <c r="H502" s="6">
        <f>L502+P502+T502+X502</f>
        <v/>
      </c>
      <c r="I502" s="7">
        <f>J502/37</f>
        <v/>
      </c>
      <c r="J502" s="6" t="n">
        <v>31</v>
      </c>
      <c r="K502" s="6" t="n">
        <v>4</v>
      </c>
      <c r="L502" s="6" t="n">
        <v>2</v>
      </c>
      <c r="M502" s="7">
        <f>N502/9</f>
        <v/>
      </c>
      <c r="N502" s="6" t="n">
        <v>6</v>
      </c>
      <c r="O502" s="6" t="n">
        <v>3</v>
      </c>
      <c r="P502" s="6" t="n">
        <v>0</v>
      </c>
      <c r="Q502" s="7">
        <f>R502/11</f>
        <v/>
      </c>
      <c r="R502" s="6" t="n">
        <v>4</v>
      </c>
      <c r="S502" s="6" t="n">
        <v>3</v>
      </c>
      <c r="T502" s="6" t="n">
        <v>4</v>
      </c>
      <c r="U502" s="7">
        <f>V502/14</f>
        <v/>
      </c>
      <c r="V502" s="6" t="n">
        <v>2</v>
      </c>
      <c r="W502" s="6" t="n">
        <v>11</v>
      </c>
      <c r="X502" s="6" t="n">
        <v>1</v>
      </c>
      <c r="Y502" s="8" t="n">
        <v>23.54</v>
      </c>
      <c r="Z502" s="9" t="inlineStr">
        <is>
          <t>Success</t>
        </is>
      </c>
      <c r="AA502" s="2" t="inlineStr">
        <is>
          <t>2026-10-09 10:51:05</t>
        </is>
      </c>
    </row>
    <row r="503" ht="21.95" customHeight="1">
      <c r="A503" s="2" t="n">
        <v>502</v>
      </c>
      <c r="B503" s="31" t="inlineStr">
        <is>
          <t>http://www.buildboard.com</t>
        </is>
      </c>
      <c r="C503" s="2" t="inlineStr">
        <is>
          <t>อินเทอร์เน็ต</t>
        </is>
      </c>
      <c r="D503" s="10">
        <f>F503/71</f>
        <v/>
      </c>
      <c r="E503" s="11">
        <f>IF(D503&gt;=0.9,"ดีเยี่ยม",IF(D503&gt;=0.7,"ดี",IF(D503&gt;=0.5,"พอใช้","ต้องปรับปรุง")))</f>
        <v/>
      </c>
      <c r="F503" s="6">
        <f>J503+N503+R503+V503</f>
        <v/>
      </c>
      <c r="G503" s="6">
        <f>K503+O503+S503+W503</f>
        <v/>
      </c>
      <c r="H503" s="6">
        <f>L503+P503+T503+X503</f>
        <v/>
      </c>
      <c r="I503" s="7">
        <f>J503/37</f>
        <v/>
      </c>
      <c r="J503" s="6" t="n">
        <v>33</v>
      </c>
      <c r="K503" s="6" t="n">
        <v>4</v>
      </c>
      <c r="L503" s="6" t="n">
        <v>0</v>
      </c>
      <c r="M503" s="7">
        <f>N503/9</f>
        <v/>
      </c>
      <c r="N503" s="6" t="n">
        <v>8</v>
      </c>
      <c r="O503" s="6" t="n">
        <v>1</v>
      </c>
      <c r="P503" s="6" t="n">
        <v>0</v>
      </c>
      <c r="Q503" s="7">
        <f>R503/11</f>
        <v/>
      </c>
      <c r="R503" s="6" t="n">
        <v>4</v>
      </c>
      <c r="S503" s="6" t="n">
        <v>3</v>
      </c>
      <c r="T503" s="6" t="n">
        <v>4</v>
      </c>
      <c r="U503" s="7">
        <f>V503/14</f>
        <v/>
      </c>
      <c r="V503" s="6" t="n">
        <v>2</v>
      </c>
      <c r="W503" s="6" t="n">
        <v>12</v>
      </c>
      <c r="X503" s="6" t="n">
        <v>0</v>
      </c>
      <c r="Y503" s="8" t="n">
        <v>32.47</v>
      </c>
      <c r="Z503" s="9" t="inlineStr">
        <is>
          <t>Success</t>
        </is>
      </c>
      <c r="AA503" s="2" t="inlineStr">
        <is>
          <t>2026-10-09 10:51:38</t>
        </is>
      </c>
    </row>
    <row r="504" ht="21.95" customHeight="1">
      <c r="A504" s="2" t="n">
        <v>503</v>
      </c>
      <c r="B504" s="31" t="inlineStr">
        <is>
          <t>http://www.dft.go.th</t>
        </is>
      </c>
      <c r="C504" s="2" t="inlineStr">
        <is>
          <t>หน่วยงานราชการ,องค์กร</t>
        </is>
      </c>
      <c r="D504" s="4">
        <f>F504/71</f>
        <v/>
      </c>
      <c r="E504" s="5">
        <f>IF(D504&gt;=0.9,"ดีเยี่ยม",IF(D504&gt;=0.7,"ดี",IF(D504&gt;=0.5,"พอใช้","ต้องปรับปรุง")))</f>
        <v/>
      </c>
      <c r="F504" s="6">
        <f>J504+N504+R504+V504</f>
        <v/>
      </c>
      <c r="G504" s="6">
        <f>K504+O504+S504+W504</f>
        <v/>
      </c>
      <c r="H504" s="6">
        <f>L504+P504+T504+X504</f>
        <v/>
      </c>
      <c r="I504" s="7">
        <f>J504/37</f>
        <v/>
      </c>
      <c r="J504" s="6" t="n">
        <v>36</v>
      </c>
      <c r="K504" s="6" t="n">
        <v>1</v>
      </c>
      <c r="L504" s="6" t="n">
        <v>0</v>
      </c>
      <c r="M504" s="7">
        <f>N504/9</f>
        <v/>
      </c>
      <c r="N504" s="6" t="n">
        <v>8</v>
      </c>
      <c r="O504" s="6" t="n">
        <v>1</v>
      </c>
      <c r="P504" s="6" t="n">
        <v>0</v>
      </c>
      <c r="Q504" s="7">
        <f>R504/11</f>
        <v/>
      </c>
      <c r="R504" s="6" t="n">
        <v>4</v>
      </c>
      <c r="S504" s="6" t="n">
        <v>3</v>
      </c>
      <c r="T504" s="6" t="n">
        <v>4</v>
      </c>
      <c r="U504" s="7">
        <f>V504/14</f>
        <v/>
      </c>
      <c r="V504" s="6" t="n">
        <v>2</v>
      </c>
      <c r="W504" s="6" t="n">
        <v>12</v>
      </c>
      <c r="X504" s="6" t="n">
        <v>0</v>
      </c>
      <c r="Y504" s="8" t="n">
        <v>26.21</v>
      </c>
      <c r="Z504" s="9" t="inlineStr">
        <is>
          <t>Success</t>
        </is>
      </c>
      <c r="AA504" s="2" t="inlineStr">
        <is>
          <t>2026-10-09 10:52:04</t>
        </is>
      </c>
    </row>
    <row r="505" ht="21.95" customHeight="1">
      <c r="A505" s="2" t="n">
        <v>504</v>
      </c>
      <c r="B505" s="31" t="inlineStr">
        <is>
          <t>http://www.dpt.go.th</t>
        </is>
      </c>
      <c r="C505" s="2" t="inlineStr">
        <is>
          <t>หน่วยงานราชการ,องค์กร</t>
        </is>
      </c>
      <c r="D505" s="10">
        <f>F505/71</f>
        <v/>
      </c>
      <c r="E505" s="11">
        <f>IF(D505&gt;=0.9,"ดีเยี่ยม",IF(D505&gt;=0.7,"ดี",IF(D505&gt;=0.5,"พอใช้","ต้องปรับปรุง")))</f>
        <v/>
      </c>
      <c r="F505" s="6">
        <f>J505+N505+R505+V505</f>
        <v/>
      </c>
      <c r="G505" s="6">
        <f>K505+O505+S505+W505</f>
        <v/>
      </c>
      <c r="H505" s="6">
        <f>L505+P505+T505+X505</f>
        <v/>
      </c>
      <c r="I505" s="7">
        <f>J505/37</f>
        <v/>
      </c>
      <c r="J505" s="6" t="n">
        <v>32</v>
      </c>
      <c r="K505" s="6" t="n">
        <v>3</v>
      </c>
      <c r="L505" s="6" t="n">
        <v>2</v>
      </c>
      <c r="M505" s="7">
        <f>N505/9</f>
        <v/>
      </c>
      <c r="N505" s="6" t="n">
        <v>6</v>
      </c>
      <c r="O505" s="6" t="n">
        <v>3</v>
      </c>
      <c r="P505" s="6" t="n">
        <v>0</v>
      </c>
      <c r="Q505" s="7">
        <f>R505/11</f>
        <v/>
      </c>
      <c r="R505" s="6" t="n">
        <v>3</v>
      </c>
      <c r="S505" s="6" t="n">
        <v>4</v>
      </c>
      <c r="T505" s="6" t="n">
        <v>4</v>
      </c>
      <c r="U505" s="7">
        <f>V505/14</f>
        <v/>
      </c>
      <c r="V505" s="6" t="n">
        <v>2</v>
      </c>
      <c r="W505" s="6" t="n">
        <v>12</v>
      </c>
      <c r="X505" s="6" t="n">
        <v>0</v>
      </c>
      <c r="Y505" s="8" t="n">
        <v>35.12</v>
      </c>
      <c r="Z505" s="9" t="inlineStr">
        <is>
          <t>Success</t>
        </is>
      </c>
      <c r="AA505" s="2" t="inlineStr">
        <is>
          <t>2026-10-09 12:49:40</t>
        </is>
      </c>
    </row>
    <row r="506" ht="21.95" customHeight="1">
      <c r="A506" s="2" t="n">
        <v>505</v>
      </c>
      <c r="B506" s="31" t="inlineStr">
        <is>
          <t>http://www.trangzone.com</t>
        </is>
      </c>
      <c r="C506" s="2" t="inlineStr">
        <is>
          <t>ท่องเที่ยว</t>
        </is>
      </c>
      <c r="D506" s="10">
        <f>F506/71</f>
        <v/>
      </c>
      <c r="E506" s="11">
        <f>IF(D506&gt;=0.9,"ดีเยี่ยม",IF(D506&gt;=0.7,"ดี",IF(D506&gt;=0.5,"พอใช้","ต้องปรับปรุง")))</f>
        <v/>
      </c>
      <c r="F506" s="6">
        <f>J506+N506+R506+V506</f>
        <v/>
      </c>
      <c r="G506" s="6">
        <f>K506+O506+S506+W506</f>
        <v/>
      </c>
      <c r="H506" s="6">
        <f>L506+P506+T506+X506</f>
        <v/>
      </c>
      <c r="I506" s="7">
        <f>J506/37</f>
        <v/>
      </c>
      <c r="J506" s="6" t="n">
        <v>28</v>
      </c>
      <c r="K506" s="6" t="n">
        <v>7</v>
      </c>
      <c r="L506" s="6" t="n">
        <v>2</v>
      </c>
      <c r="M506" s="7">
        <f>N506/9</f>
        <v/>
      </c>
      <c r="N506" s="6" t="n">
        <v>7</v>
      </c>
      <c r="O506" s="6" t="n">
        <v>2</v>
      </c>
      <c r="P506" s="6" t="n">
        <v>0</v>
      </c>
      <c r="Q506" s="7">
        <f>R506/11</f>
        <v/>
      </c>
      <c r="R506" s="6" t="n">
        <v>3</v>
      </c>
      <c r="S506" s="6" t="n">
        <v>4</v>
      </c>
      <c r="T506" s="6" t="n">
        <v>4</v>
      </c>
      <c r="U506" s="7">
        <f>V506/14</f>
        <v/>
      </c>
      <c r="V506" s="6" t="n">
        <v>2</v>
      </c>
      <c r="W506" s="6" t="n">
        <v>12</v>
      </c>
      <c r="X506" s="6" t="n">
        <v>0</v>
      </c>
      <c r="Y506" s="8" t="n">
        <v>45.23</v>
      </c>
      <c r="Z506" s="9" t="inlineStr">
        <is>
          <t>Success</t>
        </is>
      </c>
      <c r="AA506" s="2" t="inlineStr">
        <is>
          <t>2026-10-09 10:53:19</t>
        </is>
      </c>
    </row>
    <row r="507" ht="21.95" customHeight="1">
      <c r="A507" s="2" t="n">
        <v>506</v>
      </c>
      <c r="B507" s="31" t="inlineStr">
        <is>
          <t>http://www.pooyingnaka.com</t>
        </is>
      </c>
      <c r="C507" s="2" t="inlineStr">
        <is>
          <t>บุคคล-สังคม</t>
        </is>
      </c>
      <c r="D507" s="10">
        <f>F507/71</f>
        <v/>
      </c>
      <c r="E507" s="11">
        <f>IF(D507&gt;=0.9,"ดีเยี่ยม",IF(D507&gt;=0.7,"ดี",IF(D507&gt;=0.5,"พอใช้","ต้องปรับปรุง")))</f>
        <v/>
      </c>
      <c r="F507" s="6">
        <f>J507+N507+R507+V507</f>
        <v/>
      </c>
      <c r="G507" s="6">
        <f>K507+O507+S507+W507</f>
        <v/>
      </c>
      <c r="H507" s="6">
        <f>L507+P507+T507+X507</f>
        <v/>
      </c>
      <c r="I507" s="7">
        <f>J507/37</f>
        <v/>
      </c>
      <c r="J507" s="6" t="n">
        <v>35</v>
      </c>
      <c r="K507" s="6" t="n">
        <v>2</v>
      </c>
      <c r="L507" s="6" t="n">
        <v>0</v>
      </c>
      <c r="M507" s="7">
        <f>N507/9</f>
        <v/>
      </c>
      <c r="N507" s="6" t="n">
        <v>6</v>
      </c>
      <c r="O507" s="6" t="n">
        <v>2</v>
      </c>
      <c r="P507" s="6" t="n">
        <v>1</v>
      </c>
      <c r="Q507" s="7">
        <f>R507/11</f>
        <v/>
      </c>
      <c r="R507" s="6" t="n">
        <v>3</v>
      </c>
      <c r="S507" s="6" t="n">
        <v>4</v>
      </c>
      <c r="T507" s="6" t="n">
        <v>4</v>
      </c>
      <c r="U507" s="7">
        <f>V507/14</f>
        <v/>
      </c>
      <c r="V507" s="6" t="n">
        <v>2</v>
      </c>
      <c r="W507" s="6" t="n">
        <v>12</v>
      </c>
      <c r="X507" s="6" t="n">
        <v>0</v>
      </c>
      <c r="Y507" s="8" t="n">
        <v>18.07</v>
      </c>
      <c r="Z507" s="9" t="inlineStr">
        <is>
          <t>Success</t>
        </is>
      </c>
      <c r="AA507" s="2" t="inlineStr">
        <is>
          <t>2026-10-09 10:53:37</t>
        </is>
      </c>
    </row>
    <row r="508" ht="21.95" customHeight="1">
      <c r="A508" s="2" t="n">
        <v>507</v>
      </c>
      <c r="B508" s="31" t="inlineStr">
        <is>
          <t>http://www.sso.go.th</t>
        </is>
      </c>
      <c r="C508" s="2" t="inlineStr">
        <is>
          <t>หน่วยงานราชการ,องค์กร</t>
        </is>
      </c>
      <c r="D508" s="4">
        <f>F508/71</f>
        <v/>
      </c>
      <c r="E508" s="5">
        <f>IF(D508&gt;=0.9,"ดีเยี่ยม",IF(D508&gt;=0.7,"ดี",IF(D508&gt;=0.5,"พอใช้","ต้องปรับปรุง")))</f>
        <v/>
      </c>
      <c r="F508" s="6">
        <f>J508+N508+R508+V508</f>
        <v/>
      </c>
      <c r="G508" s="6">
        <f>K508+O508+S508+W508</f>
        <v/>
      </c>
      <c r="H508" s="6">
        <f>L508+P508+T508+X508</f>
        <v/>
      </c>
      <c r="I508" s="7">
        <f>J508/37</f>
        <v/>
      </c>
      <c r="J508" s="6" t="n">
        <v>36</v>
      </c>
      <c r="K508" s="6" t="n">
        <v>0</v>
      </c>
      <c r="L508" s="6" t="n">
        <v>1</v>
      </c>
      <c r="M508" s="7">
        <f>N508/9</f>
        <v/>
      </c>
      <c r="N508" s="6" t="n">
        <v>7</v>
      </c>
      <c r="O508" s="6" t="n">
        <v>1</v>
      </c>
      <c r="P508" s="6" t="n">
        <v>1</v>
      </c>
      <c r="Q508" s="7">
        <f>R508/11</f>
        <v/>
      </c>
      <c r="R508" s="6" t="n">
        <v>8</v>
      </c>
      <c r="S508" s="6" t="n">
        <v>3</v>
      </c>
      <c r="T508" s="6" t="n">
        <v>0</v>
      </c>
      <c r="U508" s="7">
        <f>V508/14</f>
        <v/>
      </c>
      <c r="V508" s="6" t="n">
        <v>3</v>
      </c>
      <c r="W508" s="6" t="n">
        <v>11</v>
      </c>
      <c r="X508" s="6" t="n">
        <v>0</v>
      </c>
      <c r="Y508" s="8" t="n">
        <v>15.3</v>
      </c>
      <c r="Z508" s="9" t="inlineStr">
        <is>
          <t>Success</t>
        </is>
      </c>
      <c r="AA508" s="2" t="inlineStr">
        <is>
          <t>2026-10-09 10:53:52</t>
        </is>
      </c>
    </row>
    <row r="509" ht="21.95" customHeight="1">
      <c r="A509" s="2" t="n">
        <v>508</v>
      </c>
      <c r="B509" s="31" t="inlineStr">
        <is>
          <t>http://www.laiyadecor.com</t>
        </is>
      </c>
      <c r="C509" s="2" t="inlineStr">
        <is>
          <t>ธุรกิจ</t>
        </is>
      </c>
      <c r="D509" s="25">
        <f>F509/71</f>
        <v/>
      </c>
      <c r="E509" s="26">
        <f>IF(D509&gt;=0.9,"ดีเยี่ยม",IF(D509&gt;=0.7,"ดี",IF(D509&gt;=0.5,"พอใช้","ต้องปรับปรุง")))</f>
        <v/>
      </c>
      <c r="F509" s="6">
        <f>J509+N509+R509+V509</f>
        <v/>
      </c>
      <c r="G509" s="6">
        <f>K509+O509+S509+W509</f>
        <v/>
      </c>
      <c r="H509" s="6">
        <f>L509+P509+T509+X509</f>
        <v/>
      </c>
      <c r="I509" s="7">
        <f>J509/37</f>
        <v/>
      </c>
      <c r="J509" s="6" t="n">
        <v>0</v>
      </c>
      <c r="K509" s="6" t="n">
        <v>37</v>
      </c>
      <c r="L509" s="6" t="n">
        <v>0</v>
      </c>
      <c r="M509" s="7">
        <f>N509/9</f>
        <v/>
      </c>
      <c r="N509" s="6" t="n">
        <v>0</v>
      </c>
      <c r="O509" s="6" t="n">
        <v>9</v>
      </c>
      <c r="P509" s="6" t="n">
        <v>0</v>
      </c>
      <c r="Q509" s="7">
        <f>R509/11</f>
        <v/>
      </c>
      <c r="R509" s="6" t="n">
        <v>0</v>
      </c>
      <c r="S509" s="6" t="n">
        <v>11</v>
      </c>
      <c r="T509" s="6" t="n">
        <v>0</v>
      </c>
      <c r="U509" s="7">
        <f>V509/14</f>
        <v/>
      </c>
      <c r="V509" s="6" t="n">
        <v>0</v>
      </c>
      <c r="W509" s="6" t="n">
        <v>14</v>
      </c>
      <c r="X509" s="6" t="n">
        <v>0</v>
      </c>
      <c r="Y509" s="8" t="n">
        <v>0.03</v>
      </c>
      <c r="Z509" s="27" t="inlineStr">
        <is>
          <t>Failed (DNS Error (หาเว็บไม่เจอ))</t>
        </is>
      </c>
      <c r="AA509" s="2" t="inlineStr">
        <is>
          <t>2026-10-21 00:13:37</t>
        </is>
      </c>
    </row>
    <row r="510" ht="21.95" customHeight="1">
      <c r="A510" s="2" t="n">
        <v>509</v>
      </c>
      <c r="B510" s="31" t="inlineStr">
        <is>
          <t>http://www.isotechcomcare.com</t>
        </is>
      </c>
      <c r="C510" s="2" t="inlineStr">
        <is>
          <t>คอมพิวเตอร์</t>
        </is>
      </c>
      <c r="D510" s="10">
        <f>F510/71</f>
        <v/>
      </c>
      <c r="E510" s="11">
        <f>IF(D510&gt;=0.9,"ดีเยี่ยม",IF(D510&gt;=0.7,"ดี",IF(D510&gt;=0.5,"พอใช้","ต้องปรับปรุง")))</f>
        <v/>
      </c>
      <c r="F510" s="6">
        <f>J510+N510+R510+V510</f>
        <v/>
      </c>
      <c r="G510" s="6">
        <f>K510+O510+S510+W510</f>
        <v/>
      </c>
      <c r="H510" s="6">
        <f>L510+P510+T510+X510</f>
        <v/>
      </c>
      <c r="I510" s="7">
        <f>J510/37</f>
        <v/>
      </c>
      <c r="J510" s="6" t="n">
        <v>34</v>
      </c>
      <c r="K510" s="6" t="n">
        <v>3</v>
      </c>
      <c r="L510" s="6" t="n">
        <v>0</v>
      </c>
      <c r="M510" s="7">
        <f>N510/9</f>
        <v/>
      </c>
      <c r="N510" s="6" t="n">
        <v>8</v>
      </c>
      <c r="O510" s="6" t="n">
        <v>1</v>
      </c>
      <c r="P510" s="6" t="n">
        <v>0</v>
      </c>
      <c r="Q510" s="7">
        <f>R510/11</f>
        <v/>
      </c>
      <c r="R510" s="6" t="n">
        <v>4</v>
      </c>
      <c r="S510" s="6" t="n">
        <v>3</v>
      </c>
      <c r="T510" s="6" t="n">
        <v>4</v>
      </c>
      <c r="U510" s="7">
        <f>V510/14</f>
        <v/>
      </c>
      <c r="V510" s="6" t="n">
        <v>2</v>
      </c>
      <c r="W510" s="6" t="n">
        <v>11</v>
      </c>
      <c r="X510" s="6" t="n">
        <v>1</v>
      </c>
      <c r="Y510" s="8" t="n">
        <v>26.8</v>
      </c>
      <c r="Z510" s="9" t="inlineStr">
        <is>
          <t>Success</t>
        </is>
      </c>
      <c r="AA510" s="2" t="inlineStr">
        <is>
          <t>2026-10-09 10:54:55</t>
        </is>
      </c>
    </row>
    <row r="511" ht="21.95" customHeight="1">
      <c r="A511" s="2" t="n">
        <v>510</v>
      </c>
      <c r="B511" s="31" t="inlineStr">
        <is>
          <t>http://www.regentthailand.com</t>
        </is>
      </c>
      <c r="C511" s="2" t="inlineStr">
        <is>
          <t>ท่องเที่ยว</t>
        </is>
      </c>
      <c r="D511" s="10">
        <f>F511/71</f>
        <v/>
      </c>
      <c r="E511" s="11">
        <f>IF(D511&gt;=0.9,"ดีเยี่ยม",IF(D511&gt;=0.7,"ดี",IF(D511&gt;=0.5,"พอใช้","ต้องปรับปรุง")))</f>
        <v/>
      </c>
      <c r="F511" s="6">
        <f>J511+N511+R511+V511</f>
        <v/>
      </c>
      <c r="G511" s="6">
        <f>K511+O511+S511+W511</f>
        <v/>
      </c>
      <c r="H511" s="6">
        <f>L511+P511+T511+X511</f>
        <v/>
      </c>
      <c r="I511" s="7">
        <f>J511/37</f>
        <v/>
      </c>
      <c r="J511" s="6" t="n">
        <v>34</v>
      </c>
      <c r="K511" s="6" t="n">
        <v>1</v>
      </c>
      <c r="L511" s="6" t="n">
        <v>2</v>
      </c>
      <c r="M511" s="7">
        <f>N511/9</f>
        <v/>
      </c>
      <c r="N511" s="6" t="n">
        <v>6</v>
      </c>
      <c r="O511" s="6" t="n">
        <v>3</v>
      </c>
      <c r="P511" s="6" t="n">
        <v>0</v>
      </c>
      <c r="Q511" s="7">
        <f>R511/11</f>
        <v/>
      </c>
      <c r="R511" s="6" t="n">
        <v>7</v>
      </c>
      <c r="S511" s="6" t="n">
        <v>4</v>
      </c>
      <c r="T511" s="6" t="n">
        <v>0</v>
      </c>
      <c r="U511" s="7">
        <f>V511/14</f>
        <v/>
      </c>
      <c r="V511" s="6" t="n">
        <v>1</v>
      </c>
      <c r="W511" s="6" t="n">
        <v>12</v>
      </c>
      <c r="X511" s="6" t="n">
        <v>1</v>
      </c>
      <c r="Y511" s="8" t="n">
        <v>27.49</v>
      </c>
      <c r="Z511" s="9" t="inlineStr">
        <is>
          <t>Success</t>
        </is>
      </c>
      <c r="AA511" s="2" t="inlineStr">
        <is>
          <t>2026-10-09 12:50:43</t>
        </is>
      </c>
    </row>
    <row r="512" ht="21.95" customHeight="1">
      <c r="A512" s="2" t="n">
        <v>511</v>
      </c>
      <c r="B512" s="31" t="inlineStr">
        <is>
          <t>http://www.akibkk.com</t>
        </is>
      </c>
      <c r="C512" s="2" t="inlineStr">
        <is>
          <t>ช๊อปปิ้ง</t>
        </is>
      </c>
      <c r="D512" s="10">
        <f>F512/71</f>
        <v/>
      </c>
      <c r="E512" s="11">
        <f>IF(D512&gt;=0.9,"ดีเยี่ยม",IF(D512&gt;=0.7,"ดี",IF(D512&gt;=0.5,"พอใช้","ต้องปรับปรุง")))</f>
        <v/>
      </c>
      <c r="F512" s="6">
        <f>J512+N512+R512+V512</f>
        <v/>
      </c>
      <c r="G512" s="6">
        <f>K512+O512+S512+W512</f>
        <v/>
      </c>
      <c r="H512" s="6">
        <f>L512+P512+T512+X512</f>
        <v/>
      </c>
      <c r="I512" s="7">
        <f>J512/37</f>
        <v/>
      </c>
      <c r="J512" s="6" t="n">
        <v>31</v>
      </c>
      <c r="K512" s="6" t="n">
        <v>5</v>
      </c>
      <c r="L512" s="6" t="n">
        <v>1</v>
      </c>
      <c r="M512" s="7">
        <f>N512/9</f>
        <v/>
      </c>
      <c r="N512" s="6" t="n">
        <v>6</v>
      </c>
      <c r="O512" s="6" t="n">
        <v>3</v>
      </c>
      <c r="P512" s="6" t="n">
        <v>0</v>
      </c>
      <c r="Q512" s="7">
        <f>R512/11</f>
        <v/>
      </c>
      <c r="R512" s="6" t="n">
        <v>1</v>
      </c>
      <c r="S512" s="6" t="n">
        <v>4</v>
      </c>
      <c r="T512" s="6" t="n">
        <v>6</v>
      </c>
      <c r="U512" s="7">
        <f>V512/14</f>
        <v/>
      </c>
      <c r="V512" s="6" t="n">
        <v>1</v>
      </c>
      <c r="W512" s="6" t="n">
        <v>13</v>
      </c>
      <c r="X512" s="6" t="n">
        <v>0</v>
      </c>
      <c r="Y512" s="8" t="n">
        <v>55.76</v>
      </c>
      <c r="Z512" s="9" t="inlineStr">
        <is>
          <t>Success</t>
        </is>
      </c>
      <c r="AA512" s="2" t="inlineStr">
        <is>
          <t>2026-10-09 10:56:17</t>
        </is>
      </c>
    </row>
    <row r="513" ht="21.95" customHeight="1">
      <c r="A513" s="2" t="n">
        <v>512</v>
      </c>
      <c r="B513" s="31" t="inlineStr">
        <is>
          <t>http://www.cap.co.th</t>
        </is>
      </c>
      <c r="C513" s="2" t="inlineStr">
        <is>
          <t>บันเทิง</t>
        </is>
      </c>
      <c r="D513" s="25">
        <f>F513/71</f>
        <v/>
      </c>
      <c r="E513" s="26">
        <f>IF(D513&gt;=0.9,"ดีเยี่ยม",IF(D513&gt;=0.7,"ดี",IF(D513&gt;=0.5,"พอใช้","ต้องปรับปรุง")))</f>
        <v/>
      </c>
      <c r="F513" s="6">
        <f>J513+N513+R513+V513</f>
        <v/>
      </c>
      <c r="G513" s="6">
        <f>K513+O513+S513+W513</f>
        <v/>
      </c>
      <c r="H513" s="6">
        <f>L513+P513+T513+X513</f>
        <v/>
      </c>
      <c r="I513" s="7">
        <f>J513/37</f>
        <v/>
      </c>
      <c r="J513" s="6" t="n">
        <v>0</v>
      </c>
      <c r="K513" s="6" t="n">
        <v>37</v>
      </c>
      <c r="L513" s="6" t="n">
        <v>0</v>
      </c>
      <c r="M513" s="7">
        <f>N513/9</f>
        <v/>
      </c>
      <c r="N513" s="6" t="n">
        <v>0</v>
      </c>
      <c r="O513" s="6" t="n">
        <v>9</v>
      </c>
      <c r="P513" s="6" t="n">
        <v>0</v>
      </c>
      <c r="Q513" s="7">
        <f>R513/11</f>
        <v/>
      </c>
      <c r="R513" s="6" t="n">
        <v>0</v>
      </c>
      <c r="S513" s="6" t="n">
        <v>11</v>
      </c>
      <c r="T513" s="6" t="n">
        <v>0</v>
      </c>
      <c r="U513" s="7">
        <f>V513/14</f>
        <v/>
      </c>
      <c r="V513" s="6" t="n">
        <v>0</v>
      </c>
      <c r="W513" s="6" t="n">
        <v>14</v>
      </c>
      <c r="X513" s="6" t="n">
        <v>0</v>
      </c>
      <c r="Y513" s="8" t="n">
        <v>0.22</v>
      </c>
      <c r="Z513" s="27" t="inlineStr">
        <is>
          <t>Failed (หน้าเว็บไม่มีอยู่จริง (HTTP 404))</t>
        </is>
      </c>
      <c r="AA513" s="2" t="inlineStr">
        <is>
          <t>2026-10-21 00:13:37</t>
        </is>
      </c>
    </row>
    <row r="514" ht="21.95" customHeight="1">
      <c r="A514" s="2" t="n">
        <v>513</v>
      </c>
      <c r="B514" s="31" t="inlineStr">
        <is>
          <t>http://www.tmd.go.th</t>
        </is>
      </c>
      <c r="C514" s="2" t="inlineStr">
        <is>
          <t>หน่วยงานราชการ,องค์กร</t>
        </is>
      </c>
      <c r="D514" s="10">
        <f>F514/71</f>
        <v/>
      </c>
      <c r="E514" s="11">
        <f>IF(D514&gt;=0.9,"ดีเยี่ยม",IF(D514&gt;=0.7,"ดี",IF(D514&gt;=0.5,"พอใช้","ต้องปรับปรุง")))</f>
        <v/>
      </c>
      <c r="F514" s="6">
        <f>J514+N514+R514+V514</f>
        <v/>
      </c>
      <c r="G514" s="6">
        <f>K514+O514+S514+W514</f>
        <v/>
      </c>
      <c r="H514" s="6">
        <f>L514+P514+T514+X514</f>
        <v/>
      </c>
      <c r="I514" s="7">
        <f>J514/37</f>
        <v/>
      </c>
      <c r="J514" s="6" t="n">
        <v>34</v>
      </c>
      <c r="K514" s="6" t="n">
        <v>3</v>
      </c>
      <c r="L514" s="6" t="n">
        <v>0</v>
      </c>
      <c r="M514" s="7">
        <f>N514/9</f>
        <v/>
      </c>
      <c r="N514" s="6" t="n">
        <v>5</v>
      </c>
      <c r="O514" s="6" t="n">
        <v>4</v>
      </c>
      <c r="P514" s="6" t="n">
        <v>0</v>
      </c>
      <c r="Q514" s="7">
        <f>R514/11</f>
        <v/>
      </c>
      <c r="R514" s="6" t="n">
        <v>3</v>
      </c>
      <c r="S514" s="6" t="n">
        <v>4</v>
      </c>
      <c r="T514" s="6" t="n">
        <v>4</v>
      </c>
      <c r="U514" s="7">
        <f>V514/14</f>
        <v/>
      </c>
      <c r="V514" s="6" t="n">
        <v>2</v>
      </c>
      <c r="W514" s="6" t="n">
        <v>12</v>
      </c>
      <c r="X514" s="6" t="n">
        <v>0</v>
      </c>
      <c r="Y514" s="8" t="n">
        <v>20.22</v>
      </c>
      <c r="Z514" s="9" t="inlineStr">
        <is>
          <t>Success</t>
        </is>
      </c>
      <c r="AA514" s="2" t="inlineStr">
        <is>
          <t>2026-10-09 10:56:53</t>
        </is>
      </c>
    </row>
    <row r="515" ht="21.95" customHeight="1">
      <c r="A515" s="2" t="n">
        <v>514</v>
      </c>
      <c r="B515" s="31" t="inlineStr">
        <is>
          <t>http://www.thaihof.org</t>
        </is>
      </c>
      <c r="C515" s="2" t="inlineStr">
        <is>
          <t>สุขภาพ</t>
        </is>
      </c>
      <c r="D515" s="10">
        <f>F515/71</f>
        <v/>
      </c>
      <c r="E515" s="11">
        <f>IF(D515&gt;=0.9,"ดีเยี่ยม",IF(D515&gt;=0.7,"ดี",IF(D515&gt;=0.5,"พอใช้","ต้องปรับปรุง")))</f>
        <v/>
      </c>
      <c r="F515" s="6">
        <f>J515+N515+R515+V515</f>
        <v/>
      </c>
      <c r="G515" s="6">
        <f>K515+O515+S515+W515</f>
        <v/>
      </c>
      <c r="H515" s="6">
        <f>L515+P515+T515+X515</f>
        <v/>
      </c>
      <c r="I515" s="7">
        <f>J515/37</f>
        <v/>
      </c>
      <c r="J515" s="6" t="n">
        <v>34</v>
      </c>
      <c r="K515" s="6" t="n">
        <v>3</v>
      </c>
      <c r="L515" s="6" t="n">
        <v>0</v>
      </c>
      <c r="M515" s="7">
        <f>N515/9</f>
        <v/>
      </c>
      <c r="N515" s="6" t="n">
        <v>7</v>
      </c>
      <c r="O515" s="6" t="n">
        <v>2</v>
      </c>
      <c r="P515" s="6" t="n">
        <v>0</v>
      </c>
      <c r="Q515" s="7">
        <f>R515/11</f>
        <v/>
      </c>
      <c r="R515" s="6" t="n">
        <v>5</v>
      </c>
      <c r="S515" s="6" t="n">
        <v>2</v>
      </c>
      <c r="T515" s="6" t="n">
        <v>4</v>
      </c>
      <c r="U515" s="7">
        <f>V515/14</f>
        <v/>
      </c>
      <c r="V515" s="6" t="n">
        <v>3</v>
      </c>
      <c r="W515" s="6" t="n">
        <v>11</v>
      </c>
      <c r="X515" s="6" t="n">
        <v>0</v>
      </c>
      <c r="Y515" s="8" t="n">
        <v>17.24</v>
      </c>
      <c r="Z515" s="9" t="inlineStr">
        <is>
          <t>Success</t>
        </is>
      </c>
      <c r="AA515" s="2" t="inlineStr">
        <is>
          <t>2026-10-09 10:57:11</t>
        </is>
      </c>
    </row>
    <row r="516" ht="21.95" customHeight="1">
      <c r="A516" s="2" t="n">
        <v>515</v>
      </c>
      <c r="B516" s="31" t="inlineStr">
        <is>
          <t>http://www.fpo.go.th/S-I/</t>
        </is>
      </c>
      <c r="C516" s="2" t="inlineStr">
        <is>
          <t>หน่วยงานราชการ,องค์กร</t>
        </is>
      </c>
      <c r="D516" s="25">
        <f>F516/71</f>
        <v/>
      </c>
      <c r="E516" s="26">
        <f>IF(D516&gt;=0.9,"ดีเยี่ยม",IF(D516&gt;=0.7,"ดี",IF(D516&gt;=0.5,"พอใช้","ต้องปรับปรุง")))</f>
        <v/>
      </c>
      <c r="F516" s="6">
        <f>J516+N516+R516+V516</f>
        <v/>
      </c>
      <c r="G516" s="6">
        <f>K516+O516+S516+W516</f>
        <v/>
      </c>
      <c r="H516" s="6">
        <f>L516+P516+T516+X516</f>
        <v/>
      </c>
      <c r="I516" s="7">
        <f>J516/37</f>
        <v/>
      </c>
      <c r="J516" s="6" t="n">
        <v>0</v>
      </c>
      <c r="K516" s="6" t="n">
        <v>37</v>
      </c>
      <c r="L516" s="6" t="n">
        <v>0</v>
      </c>
      <c r="M516" s="7">
        <f>N516/9</f>
        <v/>
      </c>
      <c r="N516" s="6" t="n">
        <v>0</v>
      </c>
      <c r="O516" s="6" t="n">
        <v>9</v>
      </c>
      <c r="P516" s="6" t="n">
        <v>0</v>
      </c>
      <c r="Q516" s="7">
        <f>R516/11</f>
        <v/>
      </c>
      <c r="R516" s="6" t="n">
        <v>0</v>
      </c>
      <c r="S516" s="6" t="n">
        <v>11</v>
      </c>
      <c r="T516" s="6" t="n">
        <v>0</v>
      </c>
      <c r="U516" s="7">
        <f>V516/14</f>
        <v/>
      </c>
      <c r="V516" s="6" t="n">
        <v>0</v>
      </c>
      <c r="W516" s="6" t="n">
        <v>14</v>
      </c>
      <c r="X516" s="6" t="n">
        <v>0</v>
      </c>
      <c r="Y516" s="8" t="n">
        <v>1.2</v>
      </c>
      <c r="Z516" s="27" t="inlineStr">
        <is>
          <t>Failed (หน้าเว็บไม่มีอยู่จริง (HTTP 404))</t>
        </is>
      </c>
      <c r="AA516" s="2" t="inlineStr">
        <is>
          <t>2026-10-21 00:13:37</t>
        </is>
      </c>
    </row>
    <row r="517" ht="21.95" customHeight="1">
      <c r="A517" s="2" t="n">
        <v>516</v>
      </c>
      <c r="B517" s="31" t="inlineStr">
        <is>
          <t>http://www.dhas.com</t>
        </is>
      </c>
      <c r="C517" s="2" t="inlineStr">
        <is>
          <t>ธุรกิจ</t>
        </is>
      </c>
      <c r="D517" s="10">
        <f>F517/71</f>
        <v/>
      </c>
      <c r="E517" s="11">
        <f>IF(D517&gt;=0.9,"ดีเยี่ยม",IF(D517&gt;=0.7,"ดี",IF(D517&gt;=0.5,"พอใช้","ต้องปรับปรุง")))</f>
        <v/>
      </c>
      <c r="F517" s="6">
        <f>J517+N517+R517+V517</f>
        <v/>
      </c>
      <c r="G517" s="6">
        <f>K517+O517+S517+W517</f>
        <v/>
      </c>
      <c r="H517" s="6">
        <f>L517+P517+T517+X517</f>
        <v/>
      </c>
      <c r="I517" s="7">
        <f>J517/37</f>
        <v/>
      </c>
      <c r="J517" s="6" t="n">
        <v>28</v>
      </c>
      <c r="K517" s="6" t="n">
        <v>7</v>
      </c>
      <c r="L517" s="6" t="n">
        <v>2</v>
      </c>
      <c r="M517" s="7">
        <f>N517/9</f>
        <v/>
      </c>
      <c r="N517" s="6" t="n">
        <v>7</v>
      </c>
      <c r="O517" s="6" t="n">
        <v>2</v>
      </c>
      <c r="P517" s="6" t="n">
        <v>0</v>
      </c>
      <c r="Q517" s="7">
        <f>R517/11</f>
        <v/>
      </c>
      <c r="R517" s="6" t="n">
        <v>2</v>
      </c>
      <c r="S517" s="6" t="n">
        <v>3</v>
      </c>
      <c r="T517" s="6" t="n">
        <v>6</v>
      </c>
      <c r="U517" s="7">
        <f>V517/14</f>
        <v/>
      </c>
      <c r="V517" s="6" t="n">
        <v>2</v>
      </c>
      <c r="W517" s="6" t="n">
        <v>11</v>
      </c>
      <c r="X517" s="6" t="n">
        <v>1</v>
      </c>
      <c r="Y517" s="8" t="n">
        <v>19.67</v>
      </c>
      <c r="Z517" s="9" t="inlineStr">
        <is>
          <t>Success</t>
        </is>
      </c>
      <c r="AA517" s="2" t="inlineStr">
        <is>
          <t>2026-10-09 10:58:06</t>
        </is>
      </c>
    </row>
    <row r="518" ht="21.95" customHeight="1">
      <c r="A518" s="2" t="n">
        <v>517</v>
      </c>
      <c r="B518" s="31" t="inlineStr">
        <is>
          <t>http://www.thaimocy.com</t>
        </is>
      </c>
      <c r="C518" s="2" t="inlineStr">
        <is>
          <t>ยานยนต์</t>
        </is>
      </c>
      <c r="D518" s="25">
        <f>F518/71</f>
        <v/>
      </c>
      <c r="E518" s="26">
        <f>IF(D518&gt;=0.9,"ดีเยี่ยม",IF(D518&gt;=0.7,"ดี",IF(D518&gt;=0.5,"พอใช้","ต้องปรับปรุง")))</f>
        <v/>
      </c>
      <c r="F518" s="6">
        <f>J518+N518+R518+V518</f>
        <v/>
      </c>
      <c r="G518" s="6">
        <f>K518+O518+S518+W518</f>
        <v/>
      </c>
      <c r="H518" s="6">
        <f>L518+P518+T518+X518</f>
        <v/>
      </c>
      <c r="I518" s="7">
        <f>J518/37</f>
        <v/>
      </c>
      <c r="J518" s="6" t="n">
        <v>0</v>
      </c>
      <c r="K518" s="6" t="n">
        <v>37</v>
      </c>
      <c r="L518" s="6" t="n">
        <v>0</v>
      </c>
      <c r="M518" s="7">
        <f>N518/9</f>
        <v/>
      </c>
      <c r="N518" s="6" t="n">
        <v>0</v>
      </c>
      <c r="O518" s="6" t="n">
        <v>9</v>
      </c>
      <c r="P518" s="6" t="n">
        <v>0</v>
      </c>
      <c r="Q518" s="7">
        <f>R518/11</f>
        <v/>
      </c>
      <c r="R518" s="6" t="n">
        <v>0</v>
      </c>
      <c r="S518" s="6" t="n">
        <v>11</v>
      </c>
      <c r="T518" s="6" t="n">
        <v>0</v>
      </c>
      <c r="U518" s="7">
        <f>V518/14</f>
        <v/>
      </c>
      <c r="V518" s="6" t="n">
        <v>0</v>
      </c>
      <c r="W518" s="6" t="n">
        <v>14</v>
      </c>
      <c r="X518" s="6" t="n">
        <v>0</v>
      </c>
      <c r="Y518" s="8" t="n">
        <v>0.04</v>
      </c>
      <c r="Z518" s="27" t="inlineStr">
        <is>
          <t>Failed (DNS Error (หาเว็บไม่เจอ))</t>
        </is>
      </c>
      <c r="AA518" s="2" t="inlineStr">
        <is>
          <t>2026-10-21 00:13:37</t>
        </is>
      </c>
    </row>
    <row r="519" ht="21.95" customHeight="1">
      <c r="A519" s="2" t="n">
        <v>518</v>
      </c>
      <c r="B519" s="31" t="inlineStr">
        <is>
          <t>http://www.photoontour.com</t>
        </is>
      </c>
      <c r="C519" s="2" t="inlineStr">
        <is>
          <t>ศิลปะ-วัฒนธรรม</t>
        </is>
      </c>
      <c r="D519" s="4">
        <f>F519/71</f>
        <v/>
      </c>
      <c r="E519" s="5">
        <f>IF(D519&gt;=0.9,"ดีเยี่ยม",IF(D519&gt;=0.7,"ดี",IF(D519&gt;=0.5,"พอใช้","ต้องปรับปรุง")))</f>
        <v/>
      </c>
      <c r="F519" s="6">
        <f>J519+N519+R519+V519</f>
        <v/>
      </c>
      <c r="G519" s="6">
        <f>K519+O519+S519+W519</f>
        <v/>
      </c>
      <c r="H519" s="6">
        <f>L519+P519+T519+X519</f>
        <v/>
      </c>
      <c r="I519" s="7">
        <f>J519/37</f>
        <v/>
      </c>
      <c r="J519" s="6" t="n">
        <v>36</v>
      </c>
      <c r="K519" s="6" t="n">
        <v>1</v>
      </c>
      <c r="L519" s="6" t="n">
        <v>0</v>
      </c>
      <c r="M519" s="7">
        <f>N519/9</f>
        <v/>
      </c>
      <c r="N519" s="6" t="n">
        <v>9</v>
      </c>
      <c r="O519" s="6" t="n">
        <v>0</v>
      </c>
      <c r="P519" s="6" t="n">
        <v>0</v>
      </c>
      <c r="Q519" s="7">
        <f>R519/11</f>
        <v/>
      </c>
      <c r="R519" s="6" t="n">
        <v>6</v>
      </c>
      <c r="S519" s="6" t="n">
        <v>3</v>
      </c>
      <c r="T519" s="6" t="n">
        <v>2</v>
      </c>
      <c r="U519" s="7">
        <f>V519/14</f>
        <v/>
      </c>
      <c r="V519" s="6" t="n">
        <v>2</v>
      </c>
      <c r="W519" s="6" t="n">
        <v>12</v>
      </c>
      <c r="X519" s="6" t="n">
        <v>0</v>
      </c>
      <c r="Y519" s="8" t="n">
        <v>35.09</v>
      </c>
      <c r="Z519" s="9" t="inlineStr">
        <is>
          <t>Success</t>
        </is>
      </c>
      <c r="AA519" s="2" t="inlineStr">
        <is>
          <t>2026-10-09 12:51:53</t>
        </is>
      </c>
    </row>
    <row r="520" ht="21.95" customHeight="1">
      <c r="A520" s="2" t="n">
        <v>519</v>
      </c>
      <c r="B520" s="31" t="inlineStr">
        <is>
          <t>http://www.vcharkarn.com</t>
        </is>
      </c>
      <c r="C520" s="2" t="inlineStr">
        <is>
          <t>การศึกษา</t>
        </is>
      </c>
      <c r="D520" s="10">
        <f>F520/71</f>
        <v/>
      </c>
      <c r="E520" s="11">
        <f>IF(D520&gt;=0.9,"ดีเยี่ยม",IF(D520&gt;=0.7,"ดี",IF(D520&gt;=0.5,"พอใช้","ต้องปรับปรุง")))</f>
        <v/>
      </c>
      <c r="F520" s="6">
        <f>J520+N520+R520+V520</f>
        <v/>
      </c>
      <c r="G520" s="6">
        <f>K520+O520+S520+W520</f>
        <v/>
      </c>
      <c r="H520" s="6">
        <f>L520+P520+T520+X520</f>
        <v/>
      </c>
      <c r="I520" s="7">
        <f>J520/37</f>
        <v/>
      </c>
      <c r="J520" s="6" t="n">
        <v>34</v>
      </c>
      <c r="K520" s="6" t="n">
        <v>3</v>
      </c>
      <c r="L520" s="6" t="n">
        <v>0</v>
      </c>
      <c r="M520" s="7">
        <f>N520/9</f>
        <v/>
      </c>
      <c r="N520" s="6" t="n">
        <v>7</v>
      </c>
      <c r="O520" s="6" t="n">
        <v>2</v>
      </c>
      <c r="P520" s="6" t="n">
        <v>0</v>
      </c>
      <c r="Q520" s="7">
        <f>R520/11</f>
        <v/>
      </c>
      <c r="R520" s="6" t="n">
        <v>4</v>
      </c>
      <c r="S520" s="6" t="n">
        <v>3</v>
      </c>
      <c r="T520" s="6" t="n">
        <v>4</v>
      </c>
      <c r="U520" s="7">
        <f>V520/14</f>
        <v/>
      </c>
      <c r="V520" s="6" t="n">
        <v>2</v>
      </c>
      <c r="W520" s="6" t="n">
        <v>11</v>
      </c>
      <c r="X520" s="6" t="n">
        <v>1</v>
      </c>
      <c r="Y520" s="8" t="n">
        <v>37.72</v>
      </c>
      <c r="Z520" s="9" t="inlineStr">
        <is>
          <t>Success</t>
        </is>
      </c>
      <c r="AA520" s="2" t="inlineStr">
        <is>
          <t>2026-10-09 10:59:55</t>
        </is>
      </c>
    </row>
    <row r="521" ht="21.95" customHeight="1">
      <c r="A521" s="2" t="n">
        <v>520</v>
      </c>
      <c r="B521" s="31" t="inlineStr">
        <is>
          <t>http://www.fda.moph.go.th</t>
        </is>
      </c>
      <c r="C521" s="2" t="inlineStr">
        <is>
          <t>หน่วยงานราชการ,องค์กร</t>
        </is>
      </c>
      <c r="D521" s="4">
        <f>F521/71</f>
        <v/>
      </c>
      <c r="E521" s="5">
        <f>IF(D521&gt;=0.9,"ดีเยี่ยม",IF(D521&gt;=0.7,"ดี",IF(D521&gt;=0.5,"พอใช้","ต้องปรับปรุง")))</f>
        <v/>
      </c>
      <c r="F521" s="6">
        <f>J521+N521+R521+V521</f>
        <v/>
      </c>
      <c r="G521" s="6">
        <f>K521+O521+S521+W521</f>
        <v/>
      </c>
      <c r="H521" s="6">
        <f>L521+P521+T521+X521</f>
        <v/>
      </c>
      <c r="I521" s="7">
        <f>J521/37</f>
        <v/>
      </c>
      <c r="J521" s="6" t="n">
        <v>36</v>
      </c>
      <c r="K521" s="6" t="n">
        <v>1</v>
      </c>
      <c r="L521" s="6" t="n">
        <v>0</v>
      </c>
      <c r="M521" s="7">
        <f>N521/9</f>
        <v/>
      </c>
      <c r="N521" s="6" t="n">
        <v>7</v>
      </c>
      <c r="O521" s="6" t="n">
        <v>2</v>
      </c>
      <c r="P521" s="6" t="n">
        <v>0</v>
      </c>
      <c r="Q521" s="7">
        <f>R521/11</f>
        <v/>
      </c>
      <c r="R521" s="6" t="n">
        <v>7</v>
      </c>
      <c r="S521" s="6" t="n">
        <v>2</v>
      </c>
      <c r="T521" s="6" t="n">
        <v>2</v>
      </c>
      <c r="U521" s="7">
        <f>V521/14</f>
        <v/>
      </c>
      <c r="V521" s="6" t="n">
        <v>7</v>
      </c>
      <c r="W521" s="6" t="n">
        <v>6</v>
      </c>
      <c r="X521" s="6" t="n">
        <v>1</v>
      </c>
      <c r="Y521" s="8" t="n">
        <v>15.3</v>
      </c>
      <c r="Z521" s="9" t="inlineStr">
        <is>
          <t>Success</t>
        </is>
      </c>
      <c r="AA521" s="2" t="inlineStr">
        <is>
          <t>2026-10-09 11:00:11</t>
        </is>
      </c>
    </row>
    <row r="522" ht="21.95" customHeight="1">
      <c r="A522" s="2" t="n">
        <v>521</v>
      </c>
      <c r="B522" s="31" t="inlineStr">
        <is>
          <t>http://www.painaima.com</t>
        </is>
      </c>
      <c r="C522" s="2" t="inlineStr">
        <is>
          <t>ท่องเที่ยว</t>
        </is>
      </c>
      <c r="D522" s="10">
        <f>F522/71</f>
        <v/>
      </c>
      <c r="E522" s="11">
        <f>IF(D522&gt;=0.9,"ดีเยี่ยม",IF(D522&gt;=0.7,"ดี",IF(D522&gt;=0.5,"พอใช้","ต้องปรับปรุง")))</f>
        <v/>
      </c>
      <c r="F522" s="6">
        <f>J522+N522+R522+V522</f>
        <v/>
      </c>
      <c r="G522" s="6">
        <f>K522+O522+S522+W522</f>
        <v/>
      </c>
      <c r="H522" s="6">
        <f>L522+P522+T522+X522</f>
        <v/>
      </c>
      <c r="I522" s="7">
        <f>J522/37</f>
        <v/>
      </c>
      <c r="J522" s="6" t="n">
        <v>34</v>
      </c>
      <c r="K522" s="6" t="n">
        <v>3</v>
      </c>
      <c r="L522" s="6" t="n">
        <v>0</v>
      </c>
      <c r="M522" s="7">
        <f>N522/9</f>
        <v/>
      </c>
      <c r="N522" s="6" t="n">
        <v>7</v>
      </c>
      <c r="O522" s="6" t="n">
        <v>2</v>
      </c>
      <c r="P522" s="6" t="n">
        <v>0</v>
      </c>
      <c r="Q522" s="7">
        <f>R522/11</f>
        <v/>
      </c>
      <c r="R522" s="6" t="n">
        <v>4</v>
      </c>
      <c r="S522" s="6" t="n">
        <v>3</v>
      </c>
      <c r="T522" s="6" t="n">
        <v>4</v>
      </c>
      <c r="U522" s="7">
        <f>V522/14</f>
        <v/>
      </c>
      <c r="V522" s="6" t="n">
        <v>3</v>
      </c>
      <c r="W522" s="6" t="n">
        <v>11</v>
      </c>
      <c r="X522" s="6" t="n">
        <v>0</v>
      </c>
      <c r="Y522" s="8" t="n">
        <v>30.31</v>
      </c>
      <c r="Z522" s="9" t="inlineStr">
        <is>
          <t>Success</t>
        </is>
      </c>
      <c r="AA522" s="2" t="inlineStr">
        <is>
          <t>2026-10-09 11:00:41</t>
        </is>
      </c>
    </row>
    <row r="523" ht="21.95" customHeight="1">
      <c r="A523" s="2" t="n">
        <v>522</v>
      </c>
      <c r="B523" s="31" t="inlineStr">
        <is>
          <t>http://www.nesac.go.th</t>
        </is>
      </c>
      <c r="C523" s="2" t="inlineStr">
        <is>
          <t>หน่วยงานราชการ,องค์กร</t>
        </is>
      </c>
      <c r="D523" s="25">
        <f>F523/71</f>
        <v/>
      </c>
      <c r="E523" s="26">
        <f>IF(D523&gt;=0.9,"ดีเยี่ยม",IF(D523&gt;=0.7,"ดี",IF(D523&gt;=0.5,"พอใช้","ต้องปรับปรุง")))</f>
        <v/>
      </c>
      <c r="F523" s="6">
        <f>J523+N523+R523+V523</f>
        <v/>
      </c>
      <c r="G523" s="6">
        <f>K523+O523+S523+W523</f>
        <v/>
      </c>
      <c r="H523" s="6">
        <f>L523+P523+T523+X523</f>
        <v/>
      </c>
      <c r="I523" s="7">
        <f>J523/37</f>
        <v/>
      </c>
      <c r="J523" s="6" t="n">
        <v>0</v>
      </c>
      <c r="K523" s="6" t="n">
        <v>37</v>
      </c>
      <c r="L523" s="6" t="n">
        <v>0</v>
      </c>
      <c r="M523" s="7">
        <f>N523/9</f>
        <v/>
      </c>
      <c r="N523" s="6" t="n">
        <v>0</v>
      </c>
      <c r="O523" s="6" t="n">
        <v>9</v>
      </c>
      <c r="P523" s="6" t="n">
        <v>0</v>
      </c>
      <c r="Q523" s="7">
        <f>R523/11</f>
        <v/>
      </c>
      <c r="R523" s="6" t="n">
        <v>0</v>
      </c>
      <c r="S523" s="6" t="n">
        <v>11</v>
      </c>
      <c r="T523" s="6" t="n">
        <v>0</v>
      </c>
      <c r="U523" s="7">
        <f>V523/14</f>
        <v/>
      </c>
      <c r="V523" s="6" t="n">
        <v>0</v>
      </c>
      <c r="W523" s="6" t="n">
        <v>14</v>
      </c>
      <c r="X523" s="6" t="n">
        <v>0</v>
      </c>
      <c r="Y523" s="8" t="n">
        <v>0.05</v>
      </c>
      <c r="Z523" s="27" t="inlineStr">
        <is>
          <t>Failed (DNS Error (หาเว็บไม่เจอ))</t>
        </is>
      </c>
      <c r="AA523" s="2" t="inlineStr">
        <is>
          <t>2026-10-21 00:13:37</t>
        </is>
      </c>
    </row>
    <row r="524" ht="21.95" customHeight="1">
      <c r="A524" s="2" t="n">
        <v>523</v>
      </c>
      <c r="B524" s="31" t="inlineStr">
        <is>
          <t>http://majorcineplex.com</t>
        </is>
      </c>
      <c r="C524" s="2" t="inlineStr">
        <is>
          <t>บันเทิง</t>
        </is>
      </c>
      <c r="D524" s="10">
        <f>F524/71</f>
        <v/>
      </c>
      <c r="E524" s="11">
        <f>IF(D524&gt;=0.9,"ดีเยี่ยม",IF(D524&gt;=0.7,"ดี",IF(D524&gt;=0.5,"พอใช้","ต้องปรับปรุง")))</f>
        <v/>
      </c>
      <c r="F524" s="6">
        <f>J524+N524+R524+V524</f>
        <v/>
      </c>
      <c r="G524" s="6">
        <f>K524+O524+S524+W524</f>
        <v/>
      </c>
      <c r="H524" s="6">
        <f>L524+P524+T524+X524</f>
        <v/>
      </c>
      <c r="I524" s="7">
        <f>J524/37</f>
        <v/>
      </c>
      <c r="J524" s="6" t="n">
        <v>28</v>
      </c>
      <c r="K524" s="6" t="n">
        <v>9</v>
      </c>
      <c r="L524" s="6" t="n">
        <v>0</v>
      </c>
      <c r="M524" s="7">
        <f>N524/9</f>
        <v/>
      </c>
      <c r="N524" s="6" t="n">
        <v>8</v>
      </c>
      <c r="O524" s="6" t="n">
        <v>1</v>
      </c>
      <c r="P524" s="6" t="n">
        <v>0</v>
      </c>
      <c r="Q524" s="7">
        <f>R524/11</f>
        <v/>
      </c>
      <c r="R524" s="6" t="n">
        <v>3</v>
      </c>
      <c r="S524" s="6" t="n">
        <v>4</v>
      </c>
      <c r="T524" s="6" t="n">
        <v>4</v>
      </c>
      <c r="U524" s="7">
        <f>V524/14</f>
        <v/>
      </c>
      <c r="V524" s="6" t="n">
        <v>1</v>
      </c>
      <c r="W524" s="6" t="n">
        <v>13</v>
      </c>
      <c r="X524" s="6" t="n">
        <v>0</v>
      </c>
      <c r="Y524" s="8" t="n">
        <v>28.46</v>
      </c>
      <c r="Z524" s="9" t="inlineStr">
        <is>
          <t>Success</t>
        </is>
      </c>
      <c r="AA524" s="2" t="inlineStr">
        <is>
          <t>2026-10-09 11:01:45</t>
        </is>
      </c>
    </row>
    <row r="525" ht="21.95" customHeight="1">
      <c r="A525" s="2" t="n">
        <v>524</v>
      </c>
      <c r="B525" s="31" t="inlineStr">
        <is>
          <t>http://www.thaihealth.net</t>
        </is>
      </c>
      <c r="C525" s="2" t="inlineStr">
        <is>
          <t>สุขภาพ</t>
        </is>
      </c>
      <c r="D525" s="10">
        <f>F525/71</f>
        <v/>
      </c>
      <c r="E525" s="11">
        <f>IF(D525&gt;=0.9,"ดีเยี่ยม",IF(D525&gt;=0.7,"ดี",IF(D525&gt;=0.5,"พอใช้","ต้องปรับปรุง")))</f>
        <v/>
      </c>
      <c r="F525" s="6">
        <f>J525+N525+R525+V525</f>
        <v/>
      </c>
      <c r="G525" s="6">
        <f>K525+O525+S525+W525</f>
        <v/>
      </c>
      <c r="H525" s="6">
        <f>L525+P525+T525+X525</f>
        <v/>
      </c>
      <c r="I525" s="7">
        <f>J525/37</f>
        <v/>
      </c>
      <c r="J525" s="6" t="n">
        <v>33</v>
      </c>
      <c r="K525" s="6" t="n">
        <v>4</v>
      </c>
      <c r="L525" s="6" t="n">
        <v>0</v>
      </c>
      <c r="M525" s="7">
        <f>N525/9</f>
        <v/>
      </c>
      <c r="N525" s="6" t="n">
        <v>8</v>
      </c>
      <c r="O525" s="6" t="n">
        <v>1</v>
      </c>
      <c r="P525" s="6" t="n">
        <v>0</v>
      </c>
      <c r="Q525" s="7">
        <f>R525/11</f>
        <v/>
      </c>
      <c r="R525" s="6" t="n">
        <v>2</v>
      </c>
      <c r="S525" s="6" t="n">
        <v>3</v>
      </c>
      <c r="T525" s="6" t="n">
        <v>6</v>
      </c>
      <c r="U525" s="7">
        <f>V525/14</f>
        <v/>
      </c>
      <c r="V525" s="6" t="n">
        <v>2</v>
      </c>
      <c r="W525" s="6" t="n">
        <v>12</v>
      </c>
      <c r="X525" s="6" t="n">
        <v>0</v>
      </c>
      <c r="Y525" s="8" t="n">
        <v>19.74</v>
      </c>
      <c r="Z525" s="9" t="inlineStr">
        <is>
          <t>Success</t>
        </is>
      </c>
      <c r="AA525" s="2" t="inlineStr">
        <is>
          <t>2026-10-09 11:02:05</t>
        </is>
      </c>
    </row>
    <row r="526" ht="21.95" customHeight="1">
      <c r="A526" s="2" t="n">
        <v>525</v>
      </c>
      <c r="B526" s="31" t="inlineStr">
        <is>
          <t>http://www.sattahipbeach.com</t>
        </is>
      </c>
      <c r="C526" s="2" t="inlineStr">
        <is>
          <t>ท่องเที่ยว</t>
        </is>
      </c>
      <c r="D526" s="4">
        <f>F526/71</f>
        <v/>
      </c>
      <c r="E526" s="5">
        <f>IF(D526&gt;=0.9,"ดีเยี่ยม",IF(D526&gt;=0.7,"ดี",IF(D526&gt;=0.5,"พอใช้","ต้องปรับปรุง")))</f>
        <v/>
      </c>
      <c r="F526" s="6">
        <f>J526+N526+R526+V526</f>
        <v/>
      </c>
      <c r="G526" s="6">
        <f>K526+O526+S526+W526</f>
        <v/>
      </c>
      <c r="H526" s="6">
        <f>L526+P526+T526+X526</f>
        <v/>
      </c>
      <c r="I526" s="7">
        <f>J526/37</f>
        <v/>
      </c>
      <c r="J526" s="6" t="n">
        <v>37</v>
      </c>
      <c r="K526" s="6" t="n">
        <v>0</v>
      </c>
      <c r="L526" s="6" t="n">
        <v>0</v>
      </c>
      <c r="M526" s="7">
        <f>N526/9</f>
        <v/>
      </c>
      <c r="N526" s="6" t="n">
        <v>8</v>
      </c>
      <c r="O526" s="6" t="n">
        <v>1</v>
      </c>
      <c r="P526" s="6" t="n">
        <v>0</v>
      </c>
      <c r="Q526" s="7">
        <f>R526/11</f>
        <v/>
      </c>
      <c r="R526" s="6" t="n">
        <v>4</v>
      </c>
      <c r="S526" s="6" t="n">
        <v>3</v>
      </c>
      <c r="T526" s="6" t="n">
        <v>4</v>
      </c>
      <c r="U526" s="7">
        <f>V526/14</f>
        <v/>
      </c>
      <c r="V526" s="6" t="n">
        <v>2</v>
      </c>
      <c r="W526" s="6" t="n">
        <v>12</v>
      </c>
      <c r="X526" s="6" t="n">
        <v>0</v>
      </c>
      <c r="Y526" s="8" t="n">
        <v>16.59</v>
      </c>
      <c r="Z526" s="9" t="inlineStr">
        <is>
          <t>Success</t>
        </is>
      </c>
      <c r="AA526" s="2" t="inlineStr">
        <is>
          <t>2026-10-09 11:02:22</t>
        </is>
      </c>
    </row>
    <row r="527" ht="21.95" customHeight="1">
      <c r="A527" s="2" t="n">
        <v>526</v>
      </c>
      <c r="B527" s="31" t="inlineStr">
        <is>
          <t>http://www.thaihope.com</t>
        </is>
      </c>
      <c r="C527" s="2" t="inlineStr">
        <is>
          <t>บุคคล-สังคม</t>
        </is>
      </c>
      <c r="D527" s="25">
        <f>F527/71</f>
        <v/>
      </c>
      <c r="E527" s="26">
        <f>IF(D527&gt;=0.9,"ดีเยี่ยม",IF(D527&gt;=0.7,"ดี",IF(D527&gt;=0.5,"พอใช้","ต้องปรับปรุง")))</f>
        <v/>
      </c>
      <c r="F527" s="6">
        <f>J527+N527+R527+V527</f>
        <v/>
      </c>
      <c r="G527" s="6">
        <f>K527+O527+S527+W527</f>
        <v/>
      </c>
      <c r="H527" s="6">
        <f>L527+P527+T527+X527</f>
        <v/>
      </c>
      <c r="I527" s="7">
        <f>J527/37</f>
        <v/>
      </c>
      <c r="J527" s="6" t="n">
        <v>0</v>
      </c>
      <c r="K527" s="6" t="n">
        <v>37</v>
      </c>
      <c r="L527" s="6" t="n">
        <v>0</v>
      </c>
      <c r="M527" s="7">
        <f>N527/9</f>
        <v/>
      </c>
      <c r="N527" s="6" t="n">
        <v>0</v>
      </c>
      <c r="O527" s="6" t="n">
        <v>9</v>
      </c>
      <c r="P527" s="6" t="n">
        <v>0</v>
      </c>
      <c r="Q527" s="7">
        <f>R527/11</f>
        <v/>
      </c>
      <c r="R527" s="6" t="n">
        <v>0</v>
      </c>
      <c r="S527" s="6" t="n">
        <v>11</v>
      </c>
      <c r="T527" s="6" t="n">
        <v>0</v>
      </c>
      <c r="U527" s="7">
        <f>V527/14</f>
        <v/>
      </c>
      <c r="V527" s="6" t="n">
        <v>0</v>
      </c>
      <c r="W527" s="6" t="n">
        <v>14</v>
      </c>
      <c r="X527" s="6" t="n">
        <v>0</v>
      </c>
      <c r="Y527" s="8" t="n">
        <v>1.54</v>
      </c>
      <c r="Z527" s="27" t="inlineStr">
        <is>
          <t>Failed (หน้าพักโดเมน / โดเมนหมดอายุ)</t>
        </is>
      </c>
      <c r="AA527" s="2" t="inlineStr">
        <is>
          <t>2026-10-21 00:13:37</t>
        </is>
      </c>
    </row>
    <row r="528" ht="21.95" customHeight="1">
      <c r="A528" s="2" t="n">
        <v>527</v>
      </c>
      <c r="B528" s="31" t="inlineStr">
        <is>
          <t>http://www.super-rich.com</t>
        </is>
      </c>
      <c r="C528" s="2" t="inlineStr">
        <is>
          <t>ช๊อปปิ้ง</t>
        </is>
      </c>
      <c r="D528" s="25">
        <f>F528/71</f>
        <v/>
      </c>
      <c r="E528" s="26">
        <f>IF(D528&gt;=0.9,"ดีเยี่ยม",IF(D528&gt;=0.7,"ดี",IF(D528&gt;=0.5,"พอใช้","ต้องปรับปรุง")))</f>
        <v/>
      </c>
      <c r="F528" s="6">
        <f>J528+N528+R528+V528</f>
        <v/>
      </c>
      <c r="G528" s="6">
        <f>K528+O528+S528+W528</f>
        <v/>
      </c>
      <c r="H528" s="6">
        <f>L528+P528+T528+X528</f>
        <v/>
      </c>
      <c r="I528" s="7">
        <f>J528/37</f>
        <v/>
      </c>
      <c r="J528" s="6" t="n">
        <v>0</v>
      </c>
      <c r="K528" s="6" t="n">
        <v>37</v>
      </c>
      <c r="L528" s="6" t="n">
        <v>0</v>
      </c>
      <c r="M528" s="7">
        <f>N528/9</f>
        <v/>
      </c>
      <c r="N528" s="6" t="n">
        <v>0</v>
      </c>
      <c r="O528" s="6" t="n">
        <v>9</v>
      </c>
      <c r="P528" s="6" t="n">
        <v>0</v>
      </c>
      <c r="Q528" s="7">
        <f>R528/11</f>
        <v/>
      </c>
      <c r="R528" s="6" t="n">
        <v>0</v>
      </c>
      <c r="S528" s="6" t="n">
        <v>11</v>
      </c>
      <c r="T528" s="6" t="n">
        <v>0</v>
      </c>
      <c r="U528" s="7">
        <f>V528/14</f>
        <v/>
      </c>
      <c r="V528" s="6" t="n">
        <v>0</v>
      </c>
      <c r="W528" s="6" t="n">
        <v>14</v>
      </c>
      <c r="X528" s="6" t="n">
        <v>0</v>
      </c>
      <c r="Y528" s="8" t="n">
        <v>1.57</v>
      </c>
      <c r="Z528" s="27" t="inlineStr">
        <is>
          <t>Failed (หน้าพักโดเมน / โดเมนหมดอายุ)</t>
        </is>
      </c>
      <c r="AA528" s="2" t="inlineStr">
        <is>
          <t>2026-10-21 00:13:37</t>
        </is>
      </c>
    </row>
    <row r="529" ht="21.95" customHeight="1">
      <c r="A529" s="2" t="n">
        <v>528</v>
      </c>
      <c r="B529" s="31" t="inlineStr">
        <is>
          <t>http://www.silkspan.com</t>
        </is>
      </c>
      <c r="C529" s="2" t="inlineStr">
        <is>
          <t>ธนาคาร-การเงิน</t>
        </is>
      </c>
      <c r="D529" s="10">
        <f>F529/71</f>
        <v/>
      </c>
      <c r="E529" s="11">
        <f>IF(D529&gt;=0.9,"ดีเยี่ยม",IF(D529&gt;=0.7,"ดี",IF(D529&gt;=0.5,"พอใช้","ต้องปรับปรุง")))</f>
        <v/>
      </c>
      <c r="F529" s="6">
        <f>J529+N529+R529+V529</f>
        <v/>
      </c>
      <c r="G529" s="6">
        <f>K529+O529+S529+W529</f>
        <v/>
      </c>
      <c r="H529" s="6">
        <f>L529+P529+T529+X529</f>
        <v/>
      </c>
      <c r="I529" s="7">
        <f>J529/37</f>
        <v/>
      </c>
      <c r="J529" s="6" t="n">
        <v>34</v>
      </c>
      <c r="K529" s="6" t="n">
        <v>1</v>
      </c>
      <c r="L529" s="6" t="n">
        <v>2</v>
      </c>
      <c r="M529" s="7">
        <f>N529/9</f>
        <v/>
      </c>
      <c r="N529" s="6" t="n">
        <v>7</v>
      </c>
      <c r="O529" s="6" t="n">
        <v>0</v>
      </c>
      <c r="P529" s="6" t="n">
        <v>2</v>
      </c>
      <c r="Q529" s="7">
        <f>R529/11</f>
        <v/>
      </c>
      <c r="R529" s="6" t="n">
        <v>4</v>
      </c>
      <c r="S529" s="6" t="n">
        <v>3</v>
      </c>
      <c r="T529" s="6" t="n">
        <v>4</v>
      </c>
      <c r="U529" s="7">
        <f>V529/14</f>
        <v/>
      </c>
      <c r="V529" s="6" t="n">
        <v>2</v>
      </c>
      <c r="W529" s="6" t="n">
        <v>11</v>
      </c>
      <c r="X529" s="6" t="n">
        <v>1</v>
      </c>
      <c r="Y529" s="8" t="n">
        <v>17.63</v>
      </c>
      <c r="Z529" s="9" t="inlineStr">
        <is>
          <t>Success</t>
        </is>
      </c>
      <c r="AA529" s="2" t="inlineStr">
        <is>
          <t>2026-10-09 11:03:12</t>
        </is>
      </c>
    </row>
    <row r="530" ht="21.95" customHeight="1">
      <c r="A530" s="2" t="n">
        <v>529</v>
      </c>
      <c r="B530" s="31" t="inlineStr">
        <is>
          <t>http://www.pixellive.com</t>
        </is>
      </c>
      <c r="C530" s="2" t="inlineStr">
        <is>
          <t>บุคคล-สังคม</t>
        </is>
      </c>
      <c r="D530" s="25">
        <f>F530/71</f>
        <v/>
      </c>
      <c r="E530" s="26">
        <f>IF(D530&gt;=0.9,"ดีเยี่ยม",IF(D530&gt;=0.7,"ดี",IF(D530&gt;=0.5,"พอใช้","ต้องปรับปรุง")))</f>
        <v/>
      </c>
      <c r="F530" s="6">
        <f>J530+N530+R530+V530</f>
        <v/>
      </c>
      <c r="G530" s="6">
        <f>K530+O530+S530+W530</f>
        <v/>
      </c>
      <c r="H530" s="6">
        <f>L530+P530+T530+X530</f>
        <v/>
      </c>
      <c r="I530" s="7">
        <f>J530/37</f>
        <v/>
      </c>
      <c r="J530" s="6" t="n">
        <v>0</v>
      </c>
      <c r="K530" s="6" t="n">
        <v>37</v>
      </c>
      <c r="L530" s="6" t="n">
        <v>0</v>
      </c>
      <c r="M530" s="7">
        <f>N530/9</f>
        <v/>
      </c>
      <c r="N530" s="6" t="n">
        <v>0</v>
      </c>
      <c r="O530" s="6" t="n">
        <v>9</v>
      </c>
      <c r="P530" s="6" t="n">
        <v>0</v>
      </c>
      <c r="Q530" s="7">
        <f>R530/11</f>
        <v/>
      </c>
      <c r="R530" s="6" t="n">
        <v>0</v>
      </c>
      <c r="S530" s="6" t="n">
        <v>11</v>
      </c>
      <c r="T530" s="6" t="n">
        <v>0</v>
      </c>
      <c r="U530" s="7">
        <f>V530/14</f>
        <v/>
      </c>
      <c r="V530" s="6" t="n">
        <v>0</v>
      </c>
      <c r="W530" s="6" t="n">
        <v>14</v>
      </c>
      <c r="X530" s="6" t="n">
        <v>0</v>
      </c>
      <c r="Y530" s="8" t="n">
        <v>0.99</v>
      </c>
      <c r="Z530" s="27" t="inlineStr">
        <is>
          <t>Failed (Client Error (HTTP 436))</t>
        </is>
      </c>
      <c r="AA530" s="2" t="inlineStr">
        <is>
          <t>2026-10-21 00:13:37</t>
        </is>
      </c>
    </row>
    <row r="531" ht="21.95" customHeight="1">
      <c r="A531" s="2" t="n">
        <v>530</v>
      </c>
      <c r="B531" s="31" t="inlineStr">
        <is>
          <t>http://www.kasikornresearch.com</t>
        </is>
      </c>
      <c r="C531" s="2" t="inlineStr">
        <is>
          <t>ธนาคาร-การเงิน</t>
        </is>
      </c>
      <c r="D531" s="4">
        <f>F531/71</f>
        <v/>
      </c>
      <c r="E531" s="5">
        <f>IF(D531&gt;=0.9,"ดีเยี่ยม",IF(D531&gt;=0.7,"ดี",IF(D531&gt;=0.5,"พอใช้","ต้องปรับปรุง")))</f>
        <v/>
      </c>
      <c r="F531" s="6">
        <f>J531+N531+R531+V531</f>
        <v/>
      </c>
      <c r="G531" s="6">
        <f>K531+O531+S531+W531</f>
        <v/>
      </c>
      <c r="H531" s="6">
        <f>L531+P531+T531+X531</f>
        <v/>
      </c>
      <c r="I531" s="7">
        <f>J531/37</f>
        <v/>
      </c>
      <c r="J531" s="6" t="n">
        <v>35</v>
      </c>
      <c r="K531" s="6" t="n">
        <v>1</v>
      </c>
      <c r="L531" s="6" t="n">
        <v>1</v>
      </c>
      <c r="M531" s="7">
        <f>N531/9</f>
        <v/>
      </c>
      <c r="N531" s="6" t="n">
        <v>7</v>
      </c>
      <c r="O531" s="6" t="n">
        <v>2</v>
      </c>
      <c r="P531" s="6" t="n">
        <v>0</v>
      </c>
      <c r="Q531" s="7">
        <f>R531/11</f>
        <v/>
      </c>
      <c r="R531" s="6" t="n">
        <v>8</v>
      </c>
      <c r="S531" s="6" t="n">
        <v>1</v>
      </c>
      <c r="T531" s="6" t="n">
        <v>2</v>
      </c>
      <c r="U531" s="7">
        <f>V531/14</f>
        <v/>
      </c>
      <c r="V531" s="6" t="n">
        <v>6</v>
      </c>
      <c r="W531" s="6" t="n">
        <v>8</v>
      </c>
      <c r="X531" s="6" t="n">
        <v>0</v>
      </c>
      <c r="Y531" s="8" t="n">
        <v>16.3</v>
      </c>
      <c r="Z531" s="9" t="inlineStr">
        <is>
          <t>Success</t>
        </is>
      </c>
      <c r="AA531" s="2" t="inlineStr">
        <is>
          <t>2026-10-09 11:03:44</t>
        </is>
      </c>
    </row>
    <row r="532" ht="21.95" customHeight="1">
      <c r="A532" s="2" t="n">
        <v>531</v>
      </c>
      <c r="B532" s="31" t="inlineStr">
        <is>
          <t>http://www.ecthai.com</t>
        </is>
      </c>
      <c r="C532" s="2" t="inlineStr">
        <is>
          <t>ธุรกิจ</t>
        </is>
      </c>
      <c r="D532" s="25">
        <f>F532/71</f>
        <v/>
      </c>
      <c r="E532" s="26">
        <f>IF(D532&gt;=0.9,"ดีเยี่ยม",IF(D532&gt;=0.7,"ดี",IF(D532&gt;=0.5,"พอใช้","ต้องปรับปรุง")))</f>
        <v/>
      </c>
      <c r="F532" s="6">
        <f>J532+N532+R532+V532</f>
        <v/>
      </c>
      <c r="G532" s="6">
        <f>K532+O532+S532+W532</f>
        <v/>
      </c>
      <c r="H532" s="6">
        <f>L532+P532+T532+X532</f>
        <v/>
      </c>
      <c r="I532" s="7">
        <f>J532/37</f>
        <v/>
      </c>
      <c r="J532" s="6" t="n">
        <v>0</v>
      </c>
      <c r="K532" s="6" t="n">
        <v>37</v>
      </c>
      <c r="L532" s="6" t="n">
        <v>0</v>
      </c>
      <c r="M532" s="7">
        <f>N532/9</f>
        <v/>
      </c>
      <c r="N532" s="6" t="n">
        <v>0</v>
      </c>
      <c r="O532" s="6" t="n">
        <v>9</v>
      </c>
      <c r="P532" s="6" t="n">
        <v>0</v>
      </c>
      <c r="Q532" s="7">
        <f>R532/11</f>
        <v/>
      </c>
      <c r="R532" s="6" t="n">
        <v>0</v>
      </c>
      <c r="S532" s="6" t="n">
        <v>11</v>
      </c>
      <c r="T532" s="6" t="n">
        <v>0</v>
      </c>
      <c r="U532" s="7">
        <f>V532/14</f>
        <v/>
      </c>
      <c r="V532" s="6" t="n">
        <v>0</v>
      </c>
      <c r="W532" s="6" t="n">
        <v>14</v>
      </c>
      <c r="X532" s="6" t="n">
        <v>0</v>
      </c>
      <c r="Y532" s="8" t="n">
        <v>1.19</v>
      </c>
      <c r="Z532" s="27" t="inlineStr">
        <is>
          <t>Failed (หน้าพักโดเมน / โดเมนหมดอายุ)</t>
        </is>
      </c>
      <c r="AA532" s="2" t="inlineStr">
        <is>
          <t>2026-10-21 00:13:37</t>
        </is>
      </c>
    </row>
    <row r="533" ht="21.95" customHeight="1">
      <c r="A533" s="2" t="n">
        <v>532</v>
      </c>
      <c r="B533" s="31" t="inlineStr">
        <is>
          <t>http://www.gpo.or.th</t>
        </is>
      </c>
      <c r="C533" s="2" t="inlineStr">
        <is>
          <t>หน่วยงานราชการ,องค์กร</t>
        </is>
      </c>
      <c r="D533" s="4">
        <f>F533/71</f>
        <v/>
      </c>
      <c r="E533" s="5">
        <f>IF(D533&gt;=0.9,"ดีเยี่ยม",IF(D533&gt;=0.7,"ดี",IF(D533&gt;=0.5,"พอใช้","ต้องปรับปรุง")))</f>
        <v/>
      </c>
      <c r="F533" s="6">
        <f>J533+N533+R533+V533</f>
        <v/>
      </c>
      <c r="G533" s="6">
        <f>K533+O533+S533+W533</f>
        <v/>
      </c>
      <c r="H533" s="6">
        <f>L533+P533+T533+X533</f>
        <v/>
      </c>
      <c r="I533" s="7">
        <f>J533/37</f>
        <v/>
      </c>
      <c r="J533" s="6" t="n">
        <v>36</v>
      </c>
      <c r="K533" s="6" t="n">
        <v>1</v>
      </c>
      <c r="L533" s="6" t="n">
        <v>0</v>
      </c>
      <c r="M533" s="7">
        <f>N533/9</f>
        <v/>
      </c>
      <c r="N533" s="6" t="n">
        <v>7</v>
      </c>
      <c r="O533" s="6" t="n">
        <v>2</v>
      </c>
      <c r="P533" s="6" t="n">
        <v>0</v>
      </c>
      <c r="Q533" s="7">
        <f>R533/11</f>
        <v/>
      </c>
      <c r="R533" s="6" t="n">
        <v>8</v>
      </c>
      <c r="S533" s="6" t="n">
        <v>1</v>
      </c>
      <c r="T533" s="6" t="n">
        <v>2</v>
      </c>
      <c r="U533" s="7">
        <f>V533/14</f>
        <v/>
      </c>
      <c r="V533" s="6" t="n">
        <v>7</v>
      </c>
      <c r="W533" s="6" t="n">
        <v>4</v>
      </c>
      <c r="X533" s="6" t="n">
        <v>3</v>
      </c>
      <c r="Y533" s="8" t="n">
        <v>34.52</v>
      </c>
      <c r="Z533" s="9" t="inlineStr">
        <is>
          <t>Success</t>
        </is>
      </c>
      <c r="AA533" s="2" t="inlineStr">
        <is>
          <t>2026-10-09 11:04:36</t>
        </is>
      </c>
    </row>
    <row r="534" ht="21.95" customHeight="1">
      <c r="A534" s="2" t="n">
        <v>533</v>
      </c>
      <c r="B534" s="31" t="inlineStr">
        <is>
          <t>http://www.icc.co.th</t>
        </is>
      </c>
      <c r="C534" s="2" t="inlineStr">
        <is>
          <t>ช๊อปปิ้ง</t>
        </is>
      </c>
      <c r="D534" s="10">
        <f>F534/71</f>
        <v/>
      </c>
      <c r="E534" s="11">
        <f>IF(D534&gt;=0.9,"ดีเยี่ยม",IF(D534&gt;=0.7,"ดี",IF(D534&gt;=0.5,"พอใช้","ต้องปรับปรุง")))</f>
        <v/>
      </c>
      <c r="F534" s="6">
        <f>J534+N534+R534+V534</f>
        <v/>
      </c>
      <c r="G534" s="6">
        <f>K534+O534+S534+W534</f>
        <v/>
      </c>
      <c r="H534" s="6">
        <f>L534+P534+T534+X534</f>
        <v/>
      </c>
      <c r="I534" s="7">
        <f>J534/37</f>
        <v/>
      </c>
      <c r="J534" s="6" t="n">
        <v>34</v>
      </c>
      <c r="K534" s="6" t="n">
        <v>3</v>
      </c>
      <c r="L534" s="6" t="n">
        <v>0</v>
      </c>
      <c r="M534" s="7">
        <f>N534/9</f>
        <v/>
      </c>
      <c r="N534" s="6" t="n">
        <v>6</v>
      </c>
      <c r="O534" s="6" t="n">
        <v>3</v>
      </c>
      <c r="P534" s="6" t="n">
        <v>0</v>
      </c>
      <c r="Q534" s="7">
        <f>R534/11</f>
        <v/>
      </c>
      <c r="R534" s="6" t="n">
        <v>5</v>
      </c>
      <c r="S534" s="6" t="n">
        <v>3</v>
      </c>
      <c r="T534" s="6" t="n">
        <v>3</v>
      </c>
      <c r="U534" s="7">
        <f>V534/14</f>
        <v/>
      </c>
      <c r="V534" s="6" t="n">
        <v>2</v>
      </c>
      <c r="W534" s="6" t="n">
        <v>12</v>
      </c>
      <c r="X534" s="6" t="n">
        <v>0</v>
      </c>
      <c r="Y534" s="8" t="n">
        <v>16.79</v>
      </c>
      <c r="Z534" s="9" t="inlineStr">
        <is>
          <t>Success</t>
        </is>
      </c>
      <c r="AA534" s="2" t="inlineStr">
        <is>
          <t>2026-10-09 11:04:53</t>
        </is>
      </c>
    </row>
    <row r="535" ht="21.95" customHeight="1">
      <c r="A535" s="2" t="n">
        <v>534</v>
      </c>
      <c r="B535" s="31" t="inlineStr">
        <is>
          <t>http://www.propertylines.co.th</t>
        </is>
      </c>
      <c r="C535" s="2" t="inlineStr">
        <is>
          <t>อสังหาริมทรัพย์-ก่อสร้าง</t>
        </is>
      </c>
      <c r="D535" s="25">
        <f>F535/71</f>
        <v/>
      </c>
      <c r="E535" s="26">
        <f>IF(D535&gt;=0.9,"ดีเยี่ยม",IF(D535&gt;=0.7,"ดี",IF(D535&gt;=0.5,"พอใช้","ต้องปรับปรุง")))</f>
        <v/>
      </c>
      <c r="F535" s="6">
        <f>J535+N535+R535+V535</f>
        <v/>
      </c>
      <c r="G535" s="6">
        <f>K535+O535+S535+W535</f>
        <v/>
      </c>
      <c r="H535" s="6">
        <f>L535+P535+T535+X535</f>
        <v/>
      </c>
      <c r="I535" s="7">
        <f>J535/37</f>
        <v/>
      </c>
      <c r="J535" s="6" t="n">
        <v>0</v>
      </c>
      <c r="K535" s="6" t="n">
        <v>37</v>
      </c>
      <c r="L535" s="6" t="n">
        <v>0</v>
      </c>
      <c r="M535" s="7">
        <f>N535/9</f>
        <v/>
      </c>
      <c r="N535" s="6" t="n">
        <v>0</v>
      </c>
      <c r="O535" s="6" t="n">
        <v>9</v>
      </c>
      <c r="P535" s="6" t="n">
        <v>0</v>
      </c>
      <c r="Q535" s="7">
        <f>R535/11</f>
        <v/>
      </c>
      <c r="R535" s="6" t="n">
        <v>0</v>
      </c>
      <c r="S535" s="6" t="n">
        <v>11</v>
      </c>
      <c r="T535" s="6" t="n">
        <v>0</v>
      </c>
      <c r="U535" s="7">
        <f>V535/14</f>
        <v/>
      </c>
      <c r="V535" s="6" t="n">
        <v>0</v>
      </c>
      <c r="W535" s="6" t="n">
        <v>14</v>
      </c>
      <c r="X535" s="6" t="n">
        <v>0</v>
      </c>
      <c r="Y535" s="8" t="n">
        <v>11.16</v>
      </c>
      <c r="Z535" s="27" t="inlineStr">
        <is>
          <t>Failed (DNS Error (หาเว็บไม่เจอ))</t>
        </is>
      </c>
      <c r="AA535" s="2" t="inlineStr">
        <is>
          <t>2026-10-21 00:13:37</t>
        </is>
      </c>
    </row>
    <row r="536" ht="21.95" customHeight="1">
      <c r="A536" s="2" t="n">
        <v>535</v>
      </c>
      <c r="B536" s="31" t="inlineStr">
        <is>
          <t>http://www.home.co.th</t>
        </is>
      </c>
      <c r="C536" s="2" t="inlineStr">
        <is>
          <t>อสังหาริมทรัพย์-ก่อสร้าง</t>
        </is>
      </c>
      <c r="D536" s="10">
        <f>F536/71</f>
        <v/>
      </c>
      <c r="E536" s="11">
        <f>IF(D536&gt;=0.9,"ดีเยี่ยม",IF(D536&gt;=0.7,"ดี",IF(D536&gt;=0.5,"พอใช้","ต้องปรับปรุง")))</f>
        <v/>
      </c>
      <c r="F536" s="6">
        <f>J536+N536+R536+V536</f>
        <v/>
      </c>
      <c r="G536" s="6">
        <f>K536+O536+S536+W536</f>
        <v/>
      </c>
      <c r="H536" s="6">
        <f>L536+P536+T536+X536</f>
        <v/>
      </c>
      <c r="I536" s="7">
        <f>J536/37</f>
        <v/>
      </c>
      <c r="J536" s="6" t="n">
        <v>34</v>
      </c>
      <c r="K536" s="6" t="n">
        <v>3</v>
      </c>
      <c r="L536" s="6" t="n">
        <v>0</v>
      </c>
      <c r="M536" s="7">
        <f>N536/9</f>
        <v/>
      </c>
      <c r="N536" s="6" t="n">
        <v>7</v>
      </c>
      <c r="O536" s="6" t="n">
        <v>2</v>
      </c>
      <c r="P536" s="6" t="n">
        <v>0</v>
      </c>
      <c r="Q536" s="7">
        <f>R536/11</f>
        <v/>
      </c>
      <c r="R536" s="6" t="n">
        <v>4</v>
      </c>
      <c r="S536" s="6" t="n">
        <v>3</v>
      </c>
      <c r="T536" s="6" t="n">
        <v>4</v>
      </c>
      <c r="U536" s="7">
        <f>V536/14</f>
        <v/>
      </c>
      <c r="V536" s="6" t="n">
        <v>2</v>
      </c>
      <c r="W536" s="6" t="n">
        <v>11</v>
      </c>
      <c r="X536" s="6" t="n">
        <v>1</v>
      </c>
      <c r="Y536" s="8" t="n">
        <v>26.1</v>
      </c>
      <c r="Z536" s="9" t="inlineStr">
        <is>
          <t>Success</t>
        </is>
      </c>
      <c r="AA536" s="2" t="inlineStr">
        <is>
          <t>2026-10-09 11:05:54</t>
        </is>
      </c>
    </row>
    <row r="537" ht="21.95" customHeight="1">
      <c r="A537" s="2" t="n">
        <v>536</v>
      </c>
      <c r="B537" s="31" t="inlineStr">
        <is>
          <t>http://freemac.net</t>
        </is>
      </c>
      <c r="C537" s="2" t="inlineStr">
        <is>
          <t>คอมพิวเตอร์</t>
        </is>
      </c>
      <c r="D537" s="4">
        <f>F537/71</f>
        <v/>
      </c>
      <c r="E537" s="5">
        <f>IF(D537&gt;=0.9,"ดีเยี่ยม",IF(D537&gt;=0.7,"ดี",IF(D537&gt;=0.5,"พอใช้","ต้องปรับปรุง")))</f>
        <v/>
      </c>
      <c r="F537" s="6">
        <f>J537+N537+R537+V537</f>
        <v/>
      </c>
      <c r="G537" s="6">
        <f>K537+O537+S537+W537</f>
        <v/>
      </c>
      <c r="H537" s="6">
        <f>L537+P537+T537+X537</f>
        <v/>
      </c>
      <c r="I537" s="7">
        <f>J537/37</f>
        <v/>
      </c>
      <c r="J537" s="6" t="n">
        <v>36</v>
      </c>
      <c r="K537" s="6" t="n">
        <v>1</v>
      </c>
      <c r="L537" s="6" t="n">
        <v>0</v>
      </c>
      <c r="M537" s="7">
        <f>N537/9</f>
        <v/>
      </c>
      <c r="N537" s="6" t="n">
        <v>9</v>
      </c>
      <c r="O537" s="6" t="n">
        <v>0</v>
      </c>
      <c r="P537" s="6" t="n">
        <v>0</v>
      </c>
      <c r="Q537" s="7">
        <f>R537/11</f>
        <v/>
      </c>
      <c r="R537" s="6" t="n">
        <v>6</v>
      </c>
      <c r="S537" s="6" t="n">
        <v>4</v>
      </c>
      <c r="T537" s="6" t="n">
        <v>1</v>
      </c>
      <c r="U537" s="7">
        <f>V537/14</f>
        <v/>
      </c>
      <c r="V537" s="6" t="n">
        <v>1</v>
      </c>
      <c r="W537" s="6" t="n">
        <v>12</v>
      </c>
      <c r="X537" s="6" t="n">
        <v>1</v>
      </c>
      <c r="Y537" s="8" t="n">
        <v>54.35</v>
      </c>
      <c r="Z537" s="9" t="inlineStr">
        <is>
          <t>Success</t>
        </is>
      </c>
      <c r="AA537" s="2" t="inlineStr">
        <is>
          <t>2026-10-09 11:06:49</t>
        </is>
      </c>
    </row>
    <row r="538" ht="21.95" customHeight="1">
      <c r="A538" s="2" t="n">
        <v>537</v>
      </c>
      <c r="B538" s="31" t="inlineStr">
        <is>
          <t>http://www.sunncity.com</t>
        </is>
      </c>
      <c r="C538" s="2" t="inlineStr">
        <is>
          <t>คอมพิวเตอร์</t>
        </is>
      </c>
      <c r="D538" s="25">
        <f>F538/71</f>
        <v/>
      </c>
      <c r="E538" s="26">
        <f>IF(D538&gt;=0.9,"ดีเยี่ยม",IF(D538&gt;=0.7,"ดี",IF(D538&gt;=0.5,"พอใช้","ต้องปรับปรุง")))</f>
        <v/>
      </c>
      <c r="F538" s="6">
        <f>J538+N538+R538+V538</f>
        <v/>
      </c>
      <c r="G538" s="6">
        <f>K538+O538+S538+W538</f>
        <v/>
      </c>
      <c r="H538" s="6">
        <f>L538+P538+T538+X538</f>
        <v/>
      </c>
      <c r="I538" s="7">
        <f>J538/37</f>
        <v/>
      </c>
      <c r="J538" s="6" t="n">
        <v>0</v>
      </c>
      <c r="K538" s="6" t="n">
        <v>37</v>
      </c>
      <c r="L538" s="6" t="n">
        <v>0</v>
      </c>
      <c r="M538" s="7">
        <f>N538/9</f>
        <v/>
      </c>
      <c r="N538" s="6" t="n">
        <v>0</v>
      </c>
      <c r="O538" s="6" t="n">
        <v>9</v>
      </c>
      <c r="P538" s="6" t="n">
        <v>0</v>
      </c>
      <c r="Q538" s="7">
        <f>R538/11</f>
        <v/>
      </c>
      <c r="R538" s="6" t="n">
        <v>0</v>
      </c>
      <c r="S538" s="6" t="n">
        <v>11</v>
      </c>
      <c r="T538" s="6" t="n">
        <v>0</v>
      </c>
      <c r="U538" s="7">
        <f>V538/14</f>
        <v/>
      </c>
      <c r="V538" s="6" t="n">
        <v>0</v>
      </c>
      <c r="W538" s="6" t="n">
        <v>14</v>
      </c>
      <c r="X538" s="6" t="n">
        <v>0</v>
      </c>
      <c r="Y538" s="8" t="n">
        <v>1.12</v>
      </c>
      <c r="Z538" s="27" t="inlineStr">
        <is>
          <t>Failed (หน้าพักโดเมน / โดเมนหมดอายุ)</t>
        </is>
      </c>
      <c r="AA538" s="2" t="inlineStr">
        <is>
          <t>2026-10-21 00:13:37</t>
        </is>
      </c>
    </row>
    <row r="539" ht="21.95" customHeight="1">
      <c r="A539" s="2" t="n">
        <v>538</v>
      </c>
      <c r="B539" s="31" t="inlineStr">
        <is>
          <t>http://www.artifexonline.com</t>
        </is>
      </c>
      <c r="C539" s="2" t="inlineStr">
        <is>
          <t>ช๊อปปิ้ง</t>
        </is>
      </c>
      <c r="D539" s="25">
        <f>F539/71</f>
        <v/>
      </c>
      <c r="E539" s="26">
        <f>IF(D539&gt;=0.9,"ดีเยี่ยม",IF(D539&gt;=0.7,"ดี",IF(D539&gt;=0.5,"พอใช้","ต้องปรับปรุง")))</f>
        <v/>
      </c>
      <c r="F539" s="6">
        <f>J539+N539+R539+V539</f>
        <v/>
      </c>
      <c r="G539" s="6">
        <f>K539+O539+S539+W539</f>
        <v/>
      </c>
      <c r="H539" s="6">
        <f>L539+P539+T539+X539</f>
        <v/>
      </c>
      <c r="I539" s="7">
        <f>J539/37</f>
        <v/>
      </c>
      <c r="J539" s="6" t="n">
        <v>0</v>
      </c>
      <c r="K539" s="6" t="n">
        <v>37</v>
      </c>
      <c r="L539" s="6" t="n">
        <v>0</v>
      </c>
      <c r="M539" s="7">
        <f>N539/9</f>
        <v/>
      </c>
      <c r="N539" s="6" t="n">
        <v>0</v>
      </c>
      <c r="O539" s="6" t="n">
        <v>9</v>
      </c>
      <c r="P539" s="6" t="n">
        <v>0</v>
      </c>
      <c r="Q539" s="7">
        <f>R539/11</f>
        <v/>
      </c>
      <c r="R539" s="6" t="n">
        <v>0</v>
      </c>
      <c r="S539" s="6" t="n">
        <v>11</v>
      </c>
      <c r="T539" s="6" t="n">
        <v>0</v>
      </c>
      <c r="U539" s="7">
        <f>V539/14</f>
        <v/>
      </c>
      <c r="V539" s="6" t="n">
        <v>0</v>
      </c>
      <c r="W539" s="6" t="n">
        <v>14</v>
      </c>
      <c r="X539" s="6" t="n">
        <v>0</v>
      </c>
      <c r="Y539" s="8" t="n">
        <v>0.04</v>
      </c>
      <c r="Z539" s="27" t="inlineStr">
        <is>
          <t>Failed (DNS Error (หาเว็บไม่เจอ))</t>
        </is>
      </c>
      <c r="AA539" s="2" t="inlineStr">
        <is>
          <t>2026-10-21 00:13:37</t>
        </is>
      </c>
    </row>
    <row r="540" ht="21.95" customHeight="1">
      <c r="A540" s="2" t="n">
        <v>539</v>
      </c>
      <c r="B540" s="31" t="inlineStr">
        <is>
          <t>http://www.efe.or.th</t>
        </is>
      </c>
      <c r="C540" s="2" t="inlineStr">
        <is>
          <t>หน่วยงานราชการ,องค์กร</t>
        </is>
      </c>
      <c r="D540" s="25">
        <f>F540/71</f>
        <v/>
      </c>
      <c r="E540" s="26">
        <f>IF(D540&gt;=0.9,"ดีเยี่ยม",IF(D540&gt;=0.7,"ดี",IF(D540&gt;=0.5,"พอใช้","ต้องปรับปรุง")))</f>
        <v/>
      </c>
      <c r="F540" s="6">
        <f>J540+N540+R540+V540</f>
        <v/>
      </c>
      <c r="G540" s="6">
        <f>K540+O540+S540+W540</f>
        <v/>
      </c>
      <c r="H540" s="6">
        <f>L540+P540+T540+X540</f>
        <v/>
      </c>
      <c r="I540" s="7">
        <f>J540/37</f>
        <v/>
      </c>
      <c r="J540" s="6" t="n">
        <v>0</v>
      </c>
      <c r="K540" s="6" t="n">
        <v>37</v>
      </c>
      <c r="L540" s="6" t="n">
        <v>0</v>
      </c>
      <c r="M540" s="7">
        <f>N540/9</f>
        <v/>
      </c>
      <c r="N540" s="6" t="n">
        <v>0</v>
      </c>
      <c r="O540" s="6" t="n">
        <v>9</v>
      </c>
      <c r="P540" s="6" t="n">
        <v>0</v>
      </c>
      <c r="Q540" s="7">
        <f>R540/11</f>
        <v/>
      </c>
      <c r="R540" s="6" t="n">
        <v>0</v>
      </c>
      <c r="S540" s="6" t="n">
        <v>11</v>
      </c>
      <c r="T540" s="6" t="n">
        <v>0</v>
      </c>
      <c r="U540" s="7">
        <f>V540/14</f>
        <v/>
      </c>
      <c r="V540" s="6" t="n">
        <v>0</v>
      </c>
      <c r="W540" s="6" t="n">
        <v>14</v>
      </c>
      <c r="X540" s="6" t="n">
        <v>0</v>
      </c>
      <c r="Y540" s="8" t="n">
        <v>0.04</v>
      </c>
      <c r="Z540" s="27" t="inlineStr">
        <is>
          <t>Failed (DNS Error (หาเว็บไม่เจอ))</t>
        </is>
      </c>
      <c r="AA540" s="2" t="inlineStr">
        <is>
          <t>2026-10-21 00:13:37</t>
        </is>
      </c>
    </row>
    <row r="541" ht="21.95" customHeight="1">
      <c r="A541" s="2" t="n">
        <v>540</v>
      </c>
      <c r="B541" s="31" t="inlineStr">
        <is>
          <t>http://www.105printing.com</t>
        </is>
      </c>
      <c r="C541" s="2" t="inlineStr">
        <is>
          <t>ธุรกิจ</t>
        </is>
      </c>
      <c r="D541" s="10">
        <f>F541/71</f>
        <v/>
      </c>
      <c r="E541" s="11">
        <f>IF(D541&gt;=0.9,"ดีเยี่ยม",IF(D541&gt;=0.7,"ดี",IF(D541&gt;=0.5,"พอใช้","ต้องปรับปรุง")))</f>
        <v/>
      </c>
      <c r="F541" s="6">
        <f>J541+N541+R541+V541</f>
        <v/>
      </c>
      <c r="G541" s="6">
        <f>K541+O541+S541+W541</f>
        <v/>
      </c>
      <c r="H541" s="6">
        <f>L541+P541+T541+X541</f>
        <v/>
      </c>
      <c r="I541" s="7">
        <f>J541/37</f>
        <v/>
      </c>
      <c r="J541" s="6" t="n">
        <v>32</v>
      </c>
      <c r="K541" s="6" t="n">
        <v>4</v>
      </c>
      <c r="L541" s="6" t="n">
        <v>1</v>
      </c>
      <c r="M541" s="7">
        <f>N541/9</f>
        <v/>
      </c>
      <c r="N541" s="6" t="n">
        <v>8</v>
      </c>
      <c r="O541" s="6" t="n">
        <v>1</v>
      </c>
      <c r="P541" s="6" t="n">
        <v>0</v>
      </c>
      <c r="Q541" s="7">
        <f>R541/11</f>
        <v/>
      </c>
      <c r="R541" s="6" t="n">
        <v>5</v>
      </c>
      <c r="S541" s="6" t="n">
        <v>3</v>
      </c>
      <c r="T541" s="6" t="n">
        <v>3</v>
      </c>
      <c r="U541" s="7">
        <f>V541/14</f>
        <v/>
      </c>
      <c r="V541" s="6" t="n">
        <v>2</v>
      </c>
      <c r="W541" s="6" t="n">
        <v>12</v>
      </c>
      <c r="X541" s="6" t="n">
        <v>0</v>
      </c>
      <c r="Y541" s="8" t="n">
        <v>24.34</v>
      </c>
      <c r="Z541" s="9" t="inlineStr">
        <is>
          <t>Success</t>
        </is>
      </c>
      <c r="AA541" s="2" t="inlineStr">
        <is>
          <t>2026-10-09 11:08:39</t>
        </is>
      </c>
    </row>
    <row r="542" ht="21.95" customHeight="1">
      <c r="A542" s="2" t="n">
        <v>541</v>
      </c>
      <c r="B542" s="31" t="inlineStr">
        <is>
          <t>http://www.yourconnect.com</t>
        </is>
      </c>
      <c r="C542" s="2" t="inlineStr">
        <is>
          <t>อินเทอร์เน็ต</t>
        </is>
      </c>
      <c r="D542" s="10">
        <f>F542/71</f>
        <v/>
      </c>
      <c r="E542" s="11">
        <f>IF(D542&gt;=0.9,"ดีเยี่ยม",IF(D542&gt;=0.7,"ดี",IF(D542&gt;=0.5,"พอใช้","ต้องปรับปรุง")))</f>
        <v/>
      </c>
      <c r="F542" s="6">
        <f>J542+N542+R542+V542</f>
        <v/>
      </c>
      <c r="G542" s="6">
        <f>K542+O542+S542+W542</f>
        <v/>
      </c>
      <c r="H542" s="6">
        <f>L542+P542+T542+X542</f>
        <v/>
      </c>
      <c r="I542" s="7">
        <f>J542/37</f>
        <v/>
      </c>
      <c r="J542" s="6" t="n">
        <v>31</v>
      </c>
      <c r="K542" s="6" t="n">
        <v>6</v>
      </c>
      <c r="L542" s="6" t="n">
        <v>0</v>
      </c>
      <c r="M542" s="7">
        <f>N542/9</f>
        <v/>
      </c>
      <c r="N542" s="6" t="n">
        <v>7</v>
      </c>
      <c r="O542" s="6" t="n">
        <v>2</v>
      </c>
      <c r="P542" s="6" t="n">
        <v>0</v>
      </c>
      <c r="Q542" s="7">
        <f>R542/11</f>
        <v/>
      </c>
      <c r="R542" s="6" t="n">
        <v>4</v>
      </c>
      <c r="S542" s="6" t="n">
        <v>3</v>
      </c>
      <c r="T542" s="6" t="n">
        <v>4</v>
      </c>
      <c r="U542" s="7">
        <f>V542/14</f>
        <v/>
      </c>
      <c r="V542" s="6" t="n">
        <v>2</v>
      </c>
      <c r="W542" s="6" t="n">
        <v>12</v>
      </c>
      <c r="X542" s="6" t="n">
        <v>0</v>
      </c>
      <c r="Y542" s="8" t="n">
        <v>40.78</v>
      </c>
      <c r="Z542" s="9" t="inlineStr">
        <is>
          <t>Success</t>
        </is>
      </c>
      <c r="AA542" s="2" t="inlineStr">
        <is>
          <t>2026-10-09 11:09:20</t>
        </is>
      </c>
    </row>
    <row r="543" ht="21.95" customHeight="1">
      <c r="A543" s="2" t="n">
        <v>542</v>
      </c>
      <c r="B543" s="31" t="inlineStr">
        <is>
          <t>http://www.siamtree.com</t>
        </is>
      </c>
      <c r="C543" s="2" t="inlineStr">
        <is>
          <t>ธุรกิจ</t>
        </is>
      </c>
      <c r="D543" s="10">
        <f>F543/71</f>
        <v/>
      </c>
      <c r="E543" s="11">
        <f>IF(D543&gt;=0.9,"ดีเยี่ยม",IF(D543&gt;=0.7,"ดี",IF(D543&gt;=0.5,"พอใช้","ต้องปรับปรุง")))</f>
        <v/>
      </c>
      <c r="F543" s="6">
        <f>J543+N543+R543+V543</f>
        <v/>
      </c>
      <c r="G543" s="6">
        <f>K543+O543+S543+W543</f>
        <v/>
      </c>
      <c r="H543" s="6">
        <f>L543+P543+T543+X543</f>
        <v/>
      </c>
      <c r="I543" s="7">
        <f>J543/37</f>
        <v/>
      </c>
      <c r="J543" s="6" t="n">
        <v>37</v>
      </c>
      <c r="K543" s="6" t="n">
        <v>0</v>
      </c>
      <c r="L543" s="6" t="n">
        <v>0</v>
      </c>
      <c r="M543" s="7">
        <f>N543/9</f>
        <v/>
      </c>
      <c r="N543" s="6" t="n">
        <v>6</v>
      </c>
      <c r="O543" s="6" t="n">
        <v>2</v>
      </c>
      <c r="P543" s="6" t="n">
        <v>1</v>
      </c>
      <c r="Q543" s="7">
        <f>R543/11</f>
        <v/>
      </c>
      <c r="R543" s="6" t="n">
        <v>4</v>
      </c>
      <c r="S543" s="6" t="n">
        <v>3</v>
      </c>
      <c r="T543" s="6" t="n">
        <v>4</v>
      </c>
      <c r="U543" s="7">
        <f>V543/14</f>
        <v/>
      </c>
      <c r="V543" s="6" t="n">
        <v>2</v>
      </c>
      <c r="W543" s="6" t="n">
        <v>12</v>
      </c>
      <c r="X543" s="6" t="n">
        <v>0</v>
      </c>
      <c r="Y543" s="8" t="n">
        <v>18.49</v>
      </c>
      <c r="Z543" s="9" t="inlineStr">
        <is>
          <t>Success</t>
        </is>
      </c>
      <c r="AA543" s="2" t="inlineStr">
        <is>
          <t>2026-10-09 11:09:38</t>
        </is>
      </c>
    </row>
    <row r="544" ht="21.95" customHeight="1">
      <c r="A544" s="2" t="n">
        <v>543</v>
      </c>
      <c r="B544" s="31" t="inlineStr">
        <is>
          <t>http://www.marketathome.com</t>
        </is>
      </c>
      <c r="C544" s="2" t="inlineStr">
        <is>
          <t>ช๊อปปิ้ง</t>
        </is>
      </c>
      <c r="D544" s="25">
        <f>F544/71</f>
        <v/>
      </c>
      <c r="E544" s="26">
        <f>IF(D544&gt;=0.9,"ดีเยี่ยม",IF(D544&gt;=0.7,"ดี",IF(D544&gt;=0.5,"พอใช้","ต้องปรับปรุง")))</f>
        <v/>
      </c>
      <c r="F544" s="6">
        <f>J544+N544+R544+V544</f>
        <v/>
      </c>
      <c r="G544" s="6">
        <f>K544+O544+S544+W544</f>
        <v/>
      </c>
      <c r="H544" s="6">
        <f>L544+P544+T544+X544</f>
        <v/>
      </c>
      <c r="I544" s="7">
        <f>J544/37</f>
        <v/>
      </c>
      <c r="J544" s="6" t="n">
        <v>0</v>
      </c>
      <c r="K544" s="6" t="n">
        <v>37</v>
      </c>
      <c r="L544" s="6" t="n">
        <v>0</v>
      </c>
      <c r="M544" s="7">
        <f>N544/9</f>
        <v/>
      </c>
      <c r="N544" s="6" t="n">
        <v>0</v>
      </c>
      <c r="O544" s="6" t="n">
        <v>9</v>
      </c>
      <c r="P544" s="6" t="n">
        <v>0</v>
      </c>
      <c r="Q544" s="7">
        <f>R544/11</f>
        <v/>
      </c>
      <c r="R544" s="6" t="n">
        <v>0</v>
      </c>
      <c r="S544" s="6" t="n">
        <v>11</v>
      </c>
      <c r="T544" s="6" t="n">
        <v>0</v>
      </c>
      <c r="U544" s="7">
        <f>V544/14</f>
        <v/>
      </c>
      <c r="V544" s="6" t="n">
        <v>0</v>
      </c>
      <c r="W544" s="6" t="n">
        <v>14</v>
      </c>
      <c r="X544" s="6" t="n">
        <v>0</v>
      </c>
      <c r="Y544" s="8" t="n">
        <v>0.03</v>
      </c>
      <c r="Z544" s="27" t="inlineStr">
        <is>
          <t>Failed (DNS Error (หาเว็บไม่เจอ))</t>
        </is>
      </c>
      <c r="AA544" s="2" t="inlineStr">
        <is>
          <t>2026-10-21 00:13:37</t>
        </is>
      </c>
    </row>
    <row r="545" ht="21.95" customHeight="1">
      <c r="A545" s="2" t="n">
        <v>544</v>
      </c>
      <c r="B545" s="31" t="inlineStr">
        <is>
          <t>http://www.dlth.in.th</t>
        </is>
      </c>
      <c r="C545" s="2" t="inlineStr">
        <is>
          <t>อินเทอร์เน็ต</t>
        </is>
      </c>
      <c r="D545" s="25">
        <f>F545/71</f>
        <v/>
      </c>
      <c r="E545" s="26">
        <f>IF(D545&gt;=0.9,"ดีเยี่ยม",IF(D545&gt;=0.7,"ดี",IF(D545&gt;=0.5,"พอใช้","ต้องปรับปรุง")))</f>
        <v/>
      </c>
      <c r="F545" s="6">
        <f>J545+N545+R545+V545</f>
        <v/>
      </c>
      <c r="G545" s="6">
        <f>K545+O545+S545+W545</f>
        <v/>
      </c>
      <c r="H545" s="6">
        <f>L545+P545+T545+X545</f>
        <v/>
      </c>
      <c r="I545" s="7">
        <f>J545/37</f>
        <v/>
      </c>
      <c r="J545" s="6" t="n">
        <v>0</v>
      </c>
      <c r="K545" s="6" t="n">
        <v>37</v>
      </c>
      <c r="L545" s="6" t="n">
        <v>0</v>
      </c>
      <c r="M545" s="7">
        <f>N545/9</f>
        <v/>
      </c>
      <c r="N545" s="6" t="n">
        <v>0</v>
      </c>
      <c r="O545" s="6" t="n">
        <v>9</v>
      </c>
      <c r="P545" s="6" t="n">
        <v>0</v>
      </c>
      <c r="Q545" s="7">
        <f>R545/11</f>
        <v/>
      </c>
      <c r="R545" s="6" t="n">
        <v>0</v>
      </c>
      <c r="S545" s="6" t="n">
        <v>11</v>
      </c>
      <c r="T545" s="6" t="n">
        <v>0</v>
      </c>
      <c r="U545" s="7">
        <f>V545/14</f>
        <v/>
      </c>
      <c r="V545" s="6" t="n">
        <v>0</v>
      </c>
      <c r="W545" s="6" t="n">
        <v>14</v>
      </c>
      <c r="X545" s="6" t="n">
        <v>0</v>
      </c>
      <c r="Y545" s="8" t="n">
        <v>0.09</v>
      </c>
      <c r="Z545" s="27" t="inlineStr">
        <is>
          <t>Failed (DNS Error (หาเว็บไม่เจอ))</t>
        </is>
      </c>
      <c r="AA545" s="2" t="inlineStr">
        <is>
          <t>2026-10-21 00:13:37</t>
        </is>
      </c>
    </row>
    <row r="546" ht="21.95" customHeight="1">
      <c r="A546" s="2" t="n">
        <v>545</v>
      </c>
      <c r="B546" s="31" t="inlineStr">
        <is>
          <t>http://www.gzrz.com</t>
        </is>
      </c>
      <c r="C546" s="2" t="inlineStr">
        <is>
          <t>บันเทิงสำหรับผู้ใหญ่</t>
        </is>
      </c>
      <c r="D546" s="25">
        <f>F546/71</f>
        <v/>
      </c>
      <c r="E546" s="26">
        <f>IF(D546&gt;=0.9,"ดีเยี่ยม",IF(D546&gt;=0.7,"ดี",IF(D546&gt;=0.5,"พอใช้","ต้องปรับปรุง")))</f>
        <v/>
      </c>
      <c r="F546" s="6">
        <f>J546+N546+R546+V546</f>
        <v/>
      </c>
      <c r="G546" s="6">
        <f>K546+O546+S546+W546</f>
        <v/>
      </c>
      <c r="H546" s="6">
        <f>L546+P546+T546+X546</f>
        <v/>
      </c>
      <c r="I546" s="7">
        <f>J546/37</f>
        <v/>
      </c>
      <c r="J546" s="6" t="n">
        <v>0</v>
      </c>
      <c r="K546" s="6" t="n">
        <v>37</v>
      </c>
      <c r="L546" s="6" t="n">
        <v>0</v>
      </c>
      <c r="M546" s="7">
        <f>N546/9</f>
        <v/>
      </c>
      <c r="N546" s="6" t="n">
        <v>0</v>
      </c>
      <c r="O546" s="6" t="n">
        <v>9</v>
      </c>
      <c r="P546" s="6" t="n">
        <v>0</v>
      </c>
      <c r="Q546" s="7">
        <f>R546/11</f>
        <v/>
      </c>
      <c r="R546" s="6" t="n">
        <v>0</v>
      </c>
      <c r="S546" s="6" t="n">
        <v>11</v>
      </c>
      <c r="T546" s="6" t="n">
        <v>0</v>
      </c>
      <c r="U546" s="7">
        <f>V546/14</f>
        <v/>
      </c>
      <c r="V546" s="6" t="n">
        <v>0</v>
      </c>
      <c r="W546" s="6" t="n">
        <v>14</v>
      </c>
      <c r="X546" s="6" t="n">
        <v>0</v>
      </c>
      <c r="Y546" s="8" t="n">
        <v>1.58</v>
      </c>
      <c r="Z546" s="27" t="inlineStr">
        <is>
          <t>Failed (Client Error (HTTP 436))</t>
        </is>
      </c>
      <c r="AA546" s="2" t="inlineStr">
        <is>
          <t>2026-10-21 00:13:37</t>
        </is>
      </c>
    </row>
    <row r="547" ht="21.95" customHeight="1">
      <c r="A547" s="2" t="n">
        <v>546</v>
      </c>
      <c r="B547" s="31" t="inlineStr">
        <is>
          <t>http://www.starwoodcenter.com</t>
        </is>
      </c>
      <c r="C547" s="2" t="inlineStr">
        <is>
          <t>บุคคล-สังคม</t>
        </is>
      </c>
      <c r="D547" s="10">
        <f>F547/71</f>
        <v/>
      </c>
      <c r="E547" s="11">
        <f>IF(D547&gt;=0.9,"ดีเยี่ยม",IF(D547&gt;=0.7,"ดี",IF(D547&gt;=0.5,"พอใช้","ต้องปรับปรุง")))</f>
        <v/>
      </c>
      <c r="F547" s="6">
        <f>J547+N547+R547+V547</f>
        <v/>
      </c>
      <c r="G547" s="6">
        <f>K547+O547+S547+W547</f>
        <v/>
      </c>
      <c r="H547" s="6">
        <f>L547+P547+T547+X547</f>
        <v/>
      </c>
      <c r="I547" s="7">
        <f>J547/37</f>
        <v/>
      </c>
      <c r="J547" s="6" t="n">
        <v>30</v>
      </c>
      <c r="K547" s="6" t="n">
        <v>6</v>
      </c>
      <c r="L547" s="6" t="n">
        <v>1</v>
      </c>
      <c r="M547" s="7">
        <f>N547/9</f>
        <v/>
      </c>
      <c r="N547" s="6" t="n">
        <v>7</v>
      </c>
      <c r="O547" s="6" t="n">
        <v>2</v>
      </c>
      <c r="P547" s="6" t="n">
        <v>0</v>
      </c>
      <c r="Q547" s="7">
        <f>R547/11</f>
        <v/>
      </c>
      <c r="R547" s="6" t="n">
        <v>6</v>
      </c>
      <c r="S547" s="6" t="n">
        <v>3</v>
      </c>
      <c r="T547" s="6" t="n">
        <v>2</v>
      </c>
      <c r="U547" s="7">
        <f>V547/14</f>
        <v/>
      </c>
      <c r="V547" s="6" t="n">
        <v>2</v>
      </c>
      <c r="W547" s="6" t="n">
        <v>12</v>
      </c>
      <c r="X547" s="6" t="n">
        <v>0</v>
      </c>
      <c r="Y547" s="8" t="n">
        <v>24.41</v>
      </c>
      <c r="Z547" s="9" t="inlineStr">
        <is>
          <t>Success</t>
        </is>
      </c>
      <c r="AA547" s="2" t="inlineStr">
        <is>
          <t>2026-10-09 11:11:30</t>
        </is>
      </c>
    </row>
    <row r="548" ht="21.95" customHeight="1">
      <c r="A548" s="2" t="n">
        <v>547</v>
      </c>
      <c r="B548" s="31" t="inlineStr">
        <is>
          <t>http://www.automationmore.com</t>
        </is>
      </c>
      <c r="C548" s="2" t="inlineStr">
        <is>
          <t>ธุรกิจ</t>
        </is>
      </c>
      <c r="D548" s="25">
        <f>F548/71</f>
        <v/>
      </c>
      <c r="E548" s="26">
        <f>IF(D548&gt;=0.9,"ดีเยี่ยม",IF(D548&gt;=0.7,"ดี",IF(D548&gt;=0.5,"พอใช้","ต้องปรับปรุง")))</f>
        <v/>
      </c>
      <c r="F548" s="6">
        <f>J548+N548+R548+V548</f>
        <v/>
      </c>
      <c r="G548" s="6">
        <f>K548+O548+S548+W548</f>
        <v/>
      </c>
      <c r="H548" s="6">
        <f>L548+P548+T548+X548</f>
        <v/>
      </c>
      <c r="I548" s="7">
        <f>J548/37</f>
        <v/>
      </c>
      <c r="J548" s="6" t="n">
        <v>0</v>
      </c>
      <c r="K548" s="6" t="n">
        <v>37</v>
      </c>
      <c r="L548" s="6" t="n">
        <v>0</v>
      </c>
      <c r="M548" s="7">
        <f>N548/9</f>
        <v/>
      </c>
      <c r="N548" s="6" t="n">
        <v>0</v>
      </c>
      <c r="O548" s="6" t="n">
        <v>9</v>
      </c>
      <c r="P548" s="6" t="n">
        <v>0</v>
      </c>
      <c r="Q548" s="7">
        <f>R548/11</f>
        <v/>
      </c>
      <c r="R548" s="6" t="n">
        <v>0</v>
      </c>
      <c r="S548" s="6" t="n">
        <v>11</v>
      </c>
      <c r="T548" s="6" t="n">
        <v>0</v>
      </c>
      <c r="U548" s="7">
        <f>V548/14</f>
        <v/>
      </c>
      <c r="V548" s="6" t="n">
        <v>0</v>
      </c>
      <c r="W548" s="6" t="n">
        <v>14</v>
      </c>
      <c r="X548" s="6" t="n">
        <v>0</v>
      </c>
      <c r="Y548" s="8" t="n">
        <v>1.14</v>
      </c>
      <c r="Z548" s="27" t="inlineStr">
        <is>
          <t>Failed (โดนบล็อก / เข้าถึงไม่ได้ (HTTP 403))</t>
        </is>
      </c>
      <c r="AA548" s="2" t="inlineStr">
        <is>
          <t>2026-10-21 00:13:37</t>
        </is>
      </c>
    </row>
    <row r="549" ht="21.95" customHeight="1">
      <c r="A549" s="2" t="n">
        <v>548</v>
      </c>
      <c r="B549" s="31" t="inlineStr">
        <is>
          <t>http://www.library.coj.go.th</t>
        </is>
      </c>
      <c r="C549" s="2" t="inlineStr">
        <is>
          <t>การศึกษา</t>
        </is>
      </c>
      <c r="D549" s="25">
        <f>F549/71</f>
        <v/>
      </c>
      <c r="E549" s="26">
        <f>IF(D549&gt;=0.9,"ดีเยี่ยม",IF(D549&gt;=0.7,"ดี",IF(D549&gt;=0.5,"พอใช้","ต้องปรับปรุง")))</f>
        <v/>
      </c>
      <c r="F549" s="6">
        <f>J549+N549+R549+V549</f>
        <v/>
      </c>
      <c r="G549" s="6">
        <f>K549+O549+S549+W549</f>
        <v/>
      </c>
      <c r="H549" s="6">
        <f>L549+P549+T549+X549</f>
        <v/>
      </c>
      <c r="I549" s="7">
        <f>J549/37</f>
        <v/>
      </c>
      <c r="J549" s="6" t="n">
        <v>0</v>
      </c>
      <c r="K549" s="6" t="n">
        <v>37</v>
      </c>
      <c r="L549" s="6" t="n">
        <v>0</v>
      </c>
      <c r="M549" s="7">
        <f>N549/9</f>
        <v/>
      </c>
      <c r="N549" s="6" t="n">
        <v>0</v>
      </c>
      <c r="O549" s="6" t="n">
        <v>9</v>
      </c>
      <c r="P549" s="6" t="n">
        <v>0</v>
      </c>
      <c r="Q549" s="7">
        <f>R549/11</f>
        <v/>
      </c>
      <c r="R549" s="6" t="n">
        <v>0</v>
      </c>
      <c r="S549" s="6" t="n">
        <v>11</v>
      </c>
      <c r="T549" s="6" t="n">
        <v>0</v>
      </c>
      <c r="U549" s="7">
        <f>V549/14</f>
        <v/>
      </c>
      <c r="V549" s="6" t="n">
        <v>0</v>
      </c>
      <c r="W549" s="6" t="n">
        <v>14</v>
      </c>
      <c r="X549" s="6" t="n">
        <v>0</v>
      </c>
      <c r="Y549" s="8" t="n">
        <v>0.16</v>
      </c>
      <c r="Z549" s="27" t="inlineStr">
        <is>
          <t>Failed (DNS Error (หาเว็บไม่เจอ))</t>
        </is>
      </c>
      <c r="AA549" s="2" t="inlineStr">
        <is>
          <t>2026-10-21 00:13:37</t>
        </is>
      </c>
    </row>
    <row r="550" ht="21.95" customHeight="1">
      <c r="A550" s="2" t="n">
        <v>549</v>
      </c>
      <c r="B550" s="31" t="inlineStr">
        <is>
          <t>http://thaigaming.com</t>
        </is>
      </c>
      <c r="C550" s="2" t="inlineStr">
        <is>
          <t>เกมส์</t>
        </is>
      </c>
      <c r="D550" s="10">
        <f>F550/71</f>
        <v/>
      </c>
      <c r="E550" s="11">
        <f>IF(D550&gt;=0.9,"ดีเยี่ยม",IF(D550&gt;=0.7,"ดี",IF(D550&gt;=0.5,"พอใช้","ต้องปรับปรุง")))</f>
        <v/>
      </c>
      <c r="F550" s="6">
        <f>J550+N550+R550+V550</f>
        <v/>
      </c>
      <c r="G550" s="6">
        <f>K550+O550+S550+W550</f>
        <v/>
      </c>
      <c r="H550" s="6">
        <f>L550+P550+T550+X550</f>
        <v/>
      </c>
      <c r="I550" s="7">
        <f>J550/37</f>
        <v/>
      </c>
      <c r="J550" s="6" t="n">
        <v>37</v>
      </c>
      <c r="K550" s="6" t="n">
        <v>0</v>
      </c>
      <c r="L550" s="6" t="n">
        <v>0</v>
      </c>
      <c r="M550" s="7">
        <f>N550/9</f>
        <v/>
      </c>
      <c r="N550" s="6" t="n">
        <v>6</v>
      </c>
      <c r="O550" s="6" t="n">
        <v>3</v>
      </c>
      <c r="P550" s="6" t="n">
        <v>0</v>
      </c>
      <c r="Q550" s="7">
        <f>R550/11</f>
        <v/>
      </c>
      <c r="R550" s="6" t="n">
        <v>4</v>
      </c>
      <c r="S550" s="6" t="n">
        <v>0</v>
      </c>
      <c r="T550" s="6" t="n">
        <v>7</v>
      </c>
      <c r="U550" s="7">
        <f>V550/14</f>
        <v/>
      </c>
      <c r="V550" s="6" t="n">
        <v>0</v>
      </c>
      <c r="W550" s="6" t="n">
        <v>0</v>
      </c>
      <c r="X550" s="6" t="n">
        <v>14</v>
      </c>
      <c r="Y550" s="8" t="n">
        <v>26.11</v>
      </c>
      <c r="Z550" s="9" t="inlineStr">
        <is>
          <t>Success</t>
        </is>
      </c>
      <c r="AA550" s="2" t="inlineStr">
        <is>
          <t>2026-10-09 11:13:32</t>
        </is>
      </c>
    </row>
    <row r="551" ht="21.95" customHeight="1">
      <c r="A551" s="2" t="n">
        <v>550</v>
      </c>
      <c r="B551" s="31" t="inlineStr">
        <is>
          <t>http://www.udomsuksa.ac.th</t>
        </is>
      </c>
      <c r="C551" s="2" t="inlineStr">
        <is>
          <t>การศึกษา</t>
        </is>
      </c>
      <c r="D551" s="10">
        <f>F551/71</f>
        <v/>
      </c>
      <c r="E551" s="11">
        <f>IF(D551&gt;=0.9,"ดีเยี่ยม",IF(D551&gt;=0.7,"ดี",IF(D551&gt;=0.5,"พอใช้","ต้องปรับปรุง")))</f>
        <v/>
      </c>
      <c r="F551" s="6">
        <f>J551+N551+R551+V551</f>
        <v/>
      </c>
      <c r="G551" s="6">
        <f>K551+O551+S551+W551</f>
        <v/>
      </c>
      <c r="H551" s="6">
        <f>L551+P551+T551+X551</f>
        <v/>
      </c>
      <c r="I551" s="7">
        <f>J551/37</f>
        <v/>
      </c>
      <c r="J551" s="6" t="n">
        <v>35</v>
      </c>
      <c r="K551" s="6" t="n">
        <v>2</v>
      </c>
      <c r="L551" s="6" t="n">
        <v>0</v>
      </c>
      <c r="M551" s="7">
        <f>N551/9</f>
        <v/>
      </c>
      <c r="N551" s="6" t="n">
        <v>7</v>
      </c>
      <c r="O551" s="6" t="n">
        <v>2</v>
      </c>
      <c r="P551" s="6" t="n">
        <v>0</v>
      </c>
      <c r="Q551" s="7">
        <f>R551/11</f>
        <v/>
      </c>
      <c r="R551" s="6" t="n">
        <v>4</v>
      </c>
      <c r="S551" s="6" t="n">
        <v>3</v>
      </c>
      <c r="T551" s="6" t="n">
        <v>4</v>
      </c>
      <c r="U551" s="7">
        <f>V551/14</f>
        <v/>
      </c>
      <c r="V551" s="6" t="n">
        <v>2</v>
      </c>
      <c r="W551" s="6" t="n">
        <v>12</v>
      </c>
      <c r="X551" s="6" t="n">
        <v>0</v>
      </c>
      <c r="Y551" s="8" t="n">
        <v>12.8</v>
      </c>
      <c r="Z551" s="9" t="inlineStr">
        <is>
          <t>Success</t>
        </is>
      </c>
      <c r="AA551" s="2" t="inlineStr">
        <is>
          <t>2026-10-09 11:13:45</t>
        </is>
      </c>
    </row>
    <row r="552" ht="21.95" customHeight="1">
      <c r="A552" s="2" t="n">
        <v>551</v>
      </c>
      <c r="B552" s="31" t="inlineStr">
        <is>
          <t>http://www.ideaido.com</t>
        </is>
      </c>
      <c r="C552" s="2" t="inlineStr">
        <is>
          <t>อินเทอร์เน็ต</t>
        </is>
      </c>
      <c r="D552" s="10">
        <f>F552/71</f>
        <v/>
      </c>
      <c r="E552" s="11">
        <f>IF(D552&gt;=0.9,"ดีเยี่ยม",IF(D552&gt;=0.7,"ดี",IF(D552&gt;=0.5,"พอใช้","ต้องปรับปรุง")))</f>
        <v/>
      </c>
      <c r="F552" s="6">
        <f>J552+N552+R552+V552</f>
        <v/>
      </c>
      <c r="G552" s="6">
        <f>K552+O552+S552+W552</f>
        <v/>
      </c>
      <c r="H552" s="6">
        <f>L552+P552+T552+X552</f>
        <v/>
      </c>
      <c r="I552" s="7">
        <f>J552/37</f>
        <v/>
      </c>
      <c r="J552" s="6" t="n">
        <v>34</v>
      </c>
      <c r="K552" s="6" t="n">
        <v>3</v>
      </c>
      <c r="L552" s="6" t="n">
        <v>0</v>
      </c>
      <c r="M552" s="7">
        <f>N552/9</f>
        <v/>
      </c>
      <c r="N552" s="6" t="n">
        <v>8</v>
      </c>
      <c r="O552" s="6" t="n">
        <v>1</v>
      </c>
      <c r="P552" s="6" t="n">
        <v>0</v>
      </c>
      <c r="Q552" s="7">
        <f>R552/11</f>
        <v/>
      </c>
      <c r="R552" s="6" t="n">
        <v>4</v>
      </c>
      <c r="S552" s="6" t="n">
        <v>3</v>
      </c>
      <c r="T552" s="6" t="n">
        <v>4</v>
      </c>
      <c r="U552" s="7">
        <f>V552/14</f>
        <v/>
      </c>
      <c r="V552" s="6" t="n">
        <v>3</v>
      </c>
      <c r="W552" s="6" t="n">
        <v>11</v>
      </c>
      <c r="X552" s="6" t="n">
        <v>0</v>
      </c>
      <c r="Y552" s="8" t="n">
        <v>16.31</v>
      </c>
      <c r="Z552" s="9" t="inlineStr">
        <is>
          <t>Success</t>
        </is>
      </c>
      <c r="AA552" s="2" t="inlineStr">
        <is>
          <t>2026-10-09 11:14:02</t>
        </is>
      </c>
    </row>
    <row r="553" ht="21.95" customHeight="1">
      <c r="A553" s="2" t="n">
        <v>552</v>
      </c>
      <c r="B553" s="31" t="inlineStr">
        <is>
          <t>http://www.udondee.com</t>
        </is>
      </c>
      <c r="C553" s="2" t="inlineStr">
        <is>
          <t>ข่าว-สื่อ</t>
        </is>
      </c>
      <c r="D553" s="4">
        <f>F553/71</f>
        <v/>
      </c>
      <c r="E553" s="5">
        <f>IF(D553&gt;=0.9,"ดีเยี่ยม",IF(D553&gt;=0.7,"ดี",IF(D553&gt;=0.5,"พอใช้","ต้องปรับปรุง")))</f>
        <v/>
      </c>
      <c r="F553" s="6">
        <f>J553+N553+R553+V553</f>
        <v/>
      </c>
      <c r="G553" s="6">
        <f>K553+O553+S553+W553</f>
        <v/>
      </c>
      <c r="H553" s="6">
        <f>L553+P553+T553+X553</f>
        <v/>
      </c>
      <c r="I553" s="7">
        <f>J553/37</f>
        <v/>
      </c>
      <c r="J553" s="6" t="n">
        <v>34</v>
      </c>
      <c r="K553" s="6" t="n">
        <v>3</v>
      </c>
      <c r="L553" s="6" t="n">
        <v>0</v>
      </c>
      <c r="M553" s="7">
        <f>N553/9</f>
        <v/>
      </c>
      <c r="N553" s="6" t="n">
        <v>7</v>
      </c>
      <c r="O553" s="6" t="n">
        <v>1</v>
      </c>
      <c r="P553" s="6" t="n">
        <v>1</v>
      </c>
      <c r="Q553" s="7">
        <f>R553/11</f>
        <v/>
      </c>
      <c r="R553" s="6" t="n">
        <v>6</v>
      </c>
      <c r="S553" s="6" t="n">
        <v>1</v>
      </c>
      <c r="T553" s="6" t="n">
        <v>4</v>
      </c>
      <c r="U553" s="7">
        <f>V553/14</f>
        <v/>
      </c>
      <c r="V553" s="6" t="n">
        <v>6</v>
      </c>
      <c r="W553" s="6" t="n">
        <v>6</v>
      </c>
      <c r="X553" s="6" t="n">
        <v>2</v>
      </c>
      <c r="Y553" s="8" t="n">
        <v>16.82</v>
      </c>
      <c r="Z553" s="9" t="inlineStr">
        <is>
          <t>Success</t>
        </is>
      </c>
      <c r="AA553" s="2" t="inlineStr">
        <is>
          <t>2026-10-09 11:14:19</t>
        </is>
      </c>
    </row>
    <row r="554" ht="21.95" customHeight="1">
      <c r="A554" s="2" t="n">
        <v>553</v>
      </c>
      <c r="B554" s="31" t="inlineStr">
        <is>
          <t>http://www.umaporn.net</t>
        </is>
      </c>
      <c r="C554" s="2" t="inlineStr">
        <is>
          <t>บุคคล-สังคม</t>
        </is>
      </c>
      <c r="D554" s="25">
        <f>F554/71</f>
        <v/>
      </c>
      <c r="E554" s="26">
        <f>IF(D554&gt;=0.9,"ดีเยี่ยม",IF(D554&gt;=0.7,"ดี",IF(D554&gt;=0.5,"พอใช้","ต้องปรับปรุง")))</f>
        <v/>
      </c>
      <c r="F554" s="6">
        <f>J554+N554+R554+V554</f>
        <v/>
      </c>
      <c r="G554" s="6">
        <f>K554+O554+S554+W554</f>
        <v/>
      </c>
      <c r="H554" s="6">
        <f>L554+P554+T554+X554</f>
        <v/>
      </c>
      <c r="I554" s="7">
        <f>J554/37</f>
        <v/>
      </c>
      <c r="J554" s="6" t="n">
        <v>0</v>
      </c>
      <c r="K554" s="6" t="n">
        <v>37</v>
      </c>
      <c r="L554" s="6" t="n">
        <v>0</v>
      </c>
      <c r="M554" s="7">
        <f>N554/9</f>
        <v/>
      </c>
      <c r="N554" s="6" t="n">
        <v>0</v>
      </c>
      <c r="O554" s="6" t="n">
        <v>9</v>
      </c>
      <c r="P554" s="6" t="n">
        <v>0</v>
      </c>
      <c r="Q554" s="7">
        <f>R554/11</f>
        <v/>
      </c>
      <c r="R554" s="6" t="n">
        <v>0</v>
      </c>
      <c r="S554" s="6" t="n">
        <v>11</v>
      </c>
      <c r="T554" s="6" t="n">
        <v>0</v>
      </c>
      <c r="U554" s="7">
        <f>V554/14</f>
        <v/>
      </c>
      <c r="V554" s="6" t="n">
        <v>0</v>
      </c>
      <c r="W554" s="6" t="n">
        <v>14</v>
      </c>
      <c r="X554" s="6" t="n">
        <v>0</v>
      </c>
      <c r="Y554" s="8" t="n">
        <v>0.15</v>
      </c>
      <c r="Z554" s="27" t="inlineStr">
        <is>
          <t>Failed (DNS Error (หาเว็บไม่เจอ))</t>
        </is>
      </c>
      <c r="AA554" s="2" t="inlineStr">
        <is>
          <t>2026-10-21 00:13:37</t>
        </is>
      </c>
    </row>
    <row r="555" ht="21.95" customHeight="1">
      <c r="A555" s="2" t="n">
        <v>554</v>
      </c>
      <c r="B555" s="31" t="inlineStr">
        <is>
          <t>http://www.uthaisak.com</t>
        </is>
      </c>
      <c r="C555" s="2" t="inlineStr">
        <is>
          <t>หน่วยงานราชการ,องค์กร</t>
        </is>
      </c>
      <c r="D555" s="25">
        <f>F555/71</f>
        <v/>
      </c>
      <c r="E555" s="26">
        <f>IF(D555&gt;=0.9,"ดีเยี่ยม",IF(D555&gt;=0.7,"ดี",IF(D555&gt;=0.5,"พอใช้","ต้องปรับปรุง")))</f>
        <v/>
      </c>
      <c r="F555" s="6">
        <f>J555+N555+R555+V555</f>
        <v/>
      </c>
      <c r="G555" s="6">
        <f>K555+O555+S555+W555</f>
        <v/>
      </c>
      <c r="H555" s="6">
        <f>L555+P555+T555+X555</f>
        <v/>
      </c>
      <c r="I555" s="7">
        <f>J555/37</f>
        <v/>
      </c>
      <c r="J555" s="6" t="n">
        <v>0</v>
      </c>
      <c r="K555" s="6" t="n">
        <v>37</v>
      </c>
      <c r="L555" s="6" t="n">
        <v>0</v>
      </c>
      <c r="M555" s="7">
        <f>N555/9</f>
        <v/>
      </c>
      <c r="N555" s="6" t="n">
        <v>0</v>
      </c>
      <c r="O555" s="6" t="n">
        <v>9</v>
      </c>
      <c r="P555" s="6" t="n">
        <v>0</v>
      </c>
      <c r="Q555" s="7">
        <f>R555/11</f>
        <v/>
      </c>
      <c r="R555" s="6" t="n">
        <v>0</v>
      </c>
      <c r="S555" s="6" t="n">
        <v>11</v>
      </c>
      <c r="T555" s="6" t="n">
        <v>0</v>
      </c>
      <c r="U555" s="7">
        <f>V555/14</f>
        <v/>
      </c>
      <c r="V555" s="6" t="n">
        <v>0</v>
      </c>
      <c r="W555" s="6" t="n">
        <v>14</v>
      </c>
      <c r="X555" s="6" t="n">
        <v>0</v>
      </c>
      <c r="Y555" s="8" t="n">
        <v>1.52</v>
      </c>
      <c r="Z555" s="27" t="inlineStr">
        <is>
          <t>Failed (หน้าพักโดเมน / โดเมนหมดอายุ)</t>
        </is>
      </c>
      <c r="AA555" s="2" t="inlineStr">
        <is>
          <t>2026-10-21 00:13:37</t>
        </is>
      </c>
    </row>
    <row r="556" ht="21.95" customHeight="1">
      <c r="A556" s="2" t="n">
        <v>555</v>
      </c>
      <c r="B556" s="31" t="inlineStr">
        <is>
          <t>http://www.pd.co.th</t>
        </is>
      </c>
      <c r="C556" s="2" t="inlineStr">
        <is>
          <t>อสังหาริมทรัพย์-ก่อสร้าง</t>
        </is>
      </c>
      <c r="D556" s="4">
        <f>F556/71</f>
        <v/>
      </c>
      <c r="E556" s="5">
        <f>IF(D556&gt;=0.9,"ดีเยี่ยม",IF(D556&gt;=0.7,"ดี",IF(D556&gt;=0.5,"พอใช้","ต้องปรับปรุง")))</f>
        <v/>
      </c>
      <c r="F556" s="6">
        <f>J556+N556+R556+V556</f>
        <v/>
      </c>
      <c r="G556" s="6">
        <f>K556+O556+S556+W556</f>
        <v/>
      </c>
      <c r="H556" s="6">
        <f>L556+P556+T556+X556</f>
        <v/>
      </c>
      <c r="I556" s="7">
        <f>J556/37</f>
        <v/>
      </c>
      <c r="J556" s="6" t="n">
        <v>30</v>
      </c>
      <c r="K556" s="6" t="n">
        <v>6</v>
      </c>
      <c r="L556" s="6" t="n">
        <v>1</v>
      </c>
      <c r="M556" s="7">
        <f>N556/9</f>
        <v/>
      </c>
      <c r="N556" s="6" t="n">
        <v>6</v>
      </c>
      <c r="O556" s="6" t="n">
        <v>3</v>
      </c>
      <c r="P556" s="6" t="n">
        <v>0</v>
      </c>
      <c r="Q556" s="7">
        <f>R556/11</f>
        <v/>
      </c>
      <c r="R556" s="6" t="n">
        <v>7</v>
      </c>
      <c r="S556" s="6" t="n">
        <v>1</v>
      </c>
      <c r="T556" s="6" t="n">
        <v>3</v>
      </c>
      <c r="U556" s="7">
        <f>V556/14</f>
        <v/>
      </c>
      <c r="V556" s="6" t="n">
        <v>7</v>
      </c>
      <c r="W556" s="6" t="n">
        <v>5</v>
      </c>
      <c r="X556" s="6" t="n">
        <v>2</v>
      </c>
      <c r="Y556" s="8" t="n">
        <v>24.38</v>
      </c>
      <c r="Z556" s="9" t="inlineStr">
        <is>
          <t>Success</t>
        </is>
      </c>
      <c r="AA556" s="2" t="inlineStr">
        <is>
          <t>2026-10-09 11:15:47</t>
        </is>
      </c>
    </row>
    <row r="557" ht="21.95" customHeight="1">
      <c r="A557" s="2" t="n">
        <v>556</v>
      </c>
      <c r="B557" s="31" t="inlineStr">
        <is>
          <t>http://www.loikrathong.net</t>
        </is>
      </c>
      <c r="C557" s="2" t="inlineStr">
        <is>
          <t>ท่องเที่ยว</t>
        </is>
      </c>
      <c r="D557" s="10">
        <f>F557/71</f>
        <v/>
      </c>
      <c r="E557" s="11">
        <f>IF(D557&gt;=0.9,"ดีเยี่ยม",IF(D557&gt;=0.7,"ดี",IF(D557&gt;=0.5,"พอใช้","ต้องปรับปรุง")))</f>
        <v/>
      </c>
      <c r="F557" s="6">
        <f>J557+N557+R557+V557</f>
        <v/>
      </c>
      <c r="G557" s="6">
        <f>K557+O557+S557+W557</f>
        <v/>
      </c>
      <c r="H557" s="6">
        <f>L557+P557+T557+X557</f>
        <v/>
      </c>
      <c r="I557" s="7">
        <f>J557/37</f>
        <v/>
      </c>
      <c r="J557" s="6" t="n">
        <v>33</v>
      </c>
      <c r="K557" s="6" t="n">
        <v>2</v>
      </c>
      <c r="L557" s="6" t="n">
        <v>2</v>
      </c>
      <c r="M557" s="7">
        <f>N557/9</f>
        <v/>
      </c>
      <c r="N557" s="6" t="n">
        <v>5</v>
      </c>
      <c r="O557" s="6" t="n">
        <v>2</v>
      </c>
      <c r="P557" s="6" t="n">
        <v>2</v>
      </c>
      <c r="Q557" s="7">
        <f>R557/11</f>
        <v/>
      </c>
      <c r="R557" s="6" t="n">
        <v>7</v>
      </c>
      <c r="S557" s="6" t="n">
        <v>3</v>
      </c>
      <c r="T557" s="6" t="n">
        <v>1</v>
      </c>
      <c r="U557" s="7">
        <f>V557/14</f>
        <v/>
      </c>
      <c r="V557" s="6" t="n">
        <v>2</v>
      </c>
      <c r="W557" s="6" t="n">
        <v>12</v>
      </c>
      <c r="X557" s="6" t="n">
        <v>0</v>
      </c>
      <c r="Y557" s="8" t="n">
        <v>57.09</v>
      </c>
      <c r="Z557" s="9" t="inlineStr">
        <is>
          <t>Success</t>
        </is>
      </c>
      <c r="AA557" s="2" t="inlineStr">
        <is>
          <t>2026-10-09 12:58:29</t>
        </is>
      </c>
    </row>
    <row r="558" ht="21.95" customHeight="1">
      <c r="A558" s="2" t="n">
        <v>557</v>
      </c>
      <c r="B558" s="31" t="inlineStr">
        <is>
          <t>http://www.klongdigital.com</t>
        </is>
      </c>
      <c r="C558" s="2" t="inlineStr">
        <is>
          <t>ศิลปะ-วัฒนธรรม</t>
        </is>
      </c>
      <c r="D558" s="25">
        <f>F558/71</f>
        <v/>
      </c>
      <c r="E558" s="26">
        <f>IF(D558&gt;=0.9,"ดีเยี่ยม",IF(D558&gt;=0.7,"ดี",IF(D558&gt;=0.5,"พอใช้","ต้องปรับปรุง")))</f>
        <v/>
      </c>
      <c r="F558" s="6">
        <f>J558+N558+R558+V558</f>
        <v/>
      </c>
      <c r="G558" s="6">
        <f>K558+O558+S558+W558</f>
        <v/>
      </c>
      <c r="H558" s="6">
        <f>L558+P558+T558+X558</f>
        <v/>
      </c>
      <c r="I558" s="7">
        <f>J558/37</f>
        <v/>
      </c>
      <c r="J558" s="6" t="n">
        <v>0</v>
      </c>
      <c r="K558" s="6" t="n">
        <v>37</v>
      </c>
      <c r="L558" s="6" t="n">
        <v>0</v>
      </c>
      <c r="M558" s="7">
        <f>N558/9</f>
        <v/>
      </c>
      <c r="N558" s="6" t="n">
        <v>0</v>
      </c>
      <c r="O558" s="6" t="n">
        <v>9</v>
      </c>
      <c r="P558" s="6" t="n">
        <v>0</v>
      </c>
      <c r="Q558" s="7">
        <f>R558/11</f>
        <v/>
      </c>
      <c r="R558" s="6" t="n">
        <v>0</v>
      </c>
      <c r="S558" s="6" t="n">
        <v>11</v>
      </c>
      <c r="T558" s="6" t="n">
        <v>0</v>
      </c>
      <c r="U558" s="7">
        <f>V558/14</f>
        <v/>
      </c>
      <c r="V558" s="6" t="n">
        <v>0</v>
      </c>
      <c r="W558" s="6" t="n">
        <v>14</v>
      </c>
      <c r="X558" s="6" t="n">
        <v>0</v>
      </c>
      <c r="Y558" s="8" t="n">
        <v>1.08</v>
      </c>
      <c r="Z558" s="27" t="inlineStr">
        <is>
          <t>Failed (โดนบล็อก / เข้าถึงไม่ได้ (HTTP 403))</t>
        </is>
      </c>
      <c r="AA558" s="2" t="inlineStr">
        <is>
          <t>2026-10-21 00:13:37</t>
        </is>
      </c>
    </row>
    <row r="559" ht="21.95" customHeight="1">
      <c r="A559" s="2" t="n">
        <v>558</v>
      </c>
      <c r="B559" s="31" t="inlineStr">
        <is>
          <t>http://www.udomsuksa.ac.th/rangsit</t>
        </is>
      </c>
      <c r="C559" s="2" t="inlineStr">
        <is>
          <t>การศึกษา</t>
        </is>
      </c>
      <c r="D559" s="25">
        <f>F559/71</f>
        <v/>
      </c>
      <c r="E559" s="26">
        <f>IF(D559&gt;=0.9,"ดีเยี่ยม",IF(D559&gt;=0.7,"ดี",IF(D559&gt;=0.5,"พอใช้","ต้องปรับปรุง")))</f>
        <v/>
      </c>
      <c r="F559" s="6">
        <f>J559+N559+R559+V559</f>
        <v/>
      </c>
      <c r="G559" s="6">
        <f>K559+O559+S559+W559</f>
        <v/>
      </c>
      <c r="H559" s="6">
        <f>L559+P559+T559+X559</f>
        <v/>
      </c>
      <c r="I559" s="7">
        <f>J559/37</f>
        <v/>
      </c>
      <c r="J559" s="6" t="n">
        <v>0</v>
      </c>
      <c r="K559" s="6" t="n">
        <v>37</v>
      </c>
      <c r="L559" s="6" t="n">
        <v>0</v>
      </c>
      <c r="M559" s="7">
        <f>N559/9</f>
        <v/>
      </c>
      <c r="N559" s="6" t="n">
        <v>0</v>
      </c>
      <c r="O559" s="6" t="n">
        <v>9</v>
      </c>
      <c r="P559" s="6" t="n">
        <v>0</v>
      </c>
      <c r="Q559" s="7">
        <f>R559/11</f>
        <v/>
      </c>
      <c r="R559" s="6" t="n">
        <v>0</v>
      </c>
      <c r="S559" s="6" t="n">
        <v>11</v>
      </c>
      <c r="T559" s="6" t="n">
        <v>0</v>
      </c>
      <c r="U559" s="7">
        <f>V559/14</f>
        <v/>
      </c>
      <c r="V559" s="6" t="n">
        <v>0</v>
      </c>
      <c r="W559" s="6" t="n">
        <v>14</v>
      </c>
      <c r="X559" s="6" t="n">
        <v>0</v>
      </c>
      <c r="Y559" s="8" t="n">
        <v>0.07000000000000001</v>
      </c>
      <c r="Z559" s="27" t="inlineStr">
        <is>
          <t>Failed (หน้าเว็บไม่มีอยู่จริง (HTTP 404))</t>
        </is>
      </c>
      <c r="AA559" s="2" t="inlineStr">
        <is>
          <t>2026-10-21 00:13:37</t>
        </is>
      </c>
    </row>
    <row r="560" ht="21.95" customHeight="1">
      <c r="A560" s="2" t="n">
        <v>559</v>
      </c>
      <c r="B560" s="31" t="inlineStr">
        <is>
          <t>http://www.bhunchee.com</t>
        </is>
      </c>
      <c r="C560" s="2" t="inlineStr">
        <is>
          <t>ธนาคาร-การเงิน</t>
        </is>
      </c>
      <c r="D560" s="25">
        <f>F560/71</f>
        <v/>
      </c>
      <c r="E560" s="26">
        <f>IF(D560&gt;=0.9,"ดีเยี่ยม",IF(D560&gt;=0.7,"ดี",IF(D560&gt;=0.5,"พอใช้","ต้องปรับปรุง")))</f>
        <v/>
      </c>
      <c r="F560" s="6">
        <f>J560+N560+R560+V560</f>
        <v/>
      </c>
      <c r="G560" s="6">
        <f>K560+O560+S560+W560</f>
        <v/>
      </c>
      <c r="H560" s="6">
        <f>L560+P560+T560+X560</f>
        <v/>
      </c>
      <c r="I560" s="7">
        <f>J560/37</f>
        <v/>
      </c>
      <c r="J560" s="6" t="n">
        <v>0</v>
      </c>
      <c r="K560" s="6" t="n">
        <v>37</v>
      </c>
      <c r="L560" s="6" t="n">
        <v>0</v>
      </c>
      <c r="M560" s="7">
        <f>N560/9</f>
        <v/>
      </c>
      <c r="N560" s="6" t="n">
        <v>0</v>
      </c>
      <c r="O560" s="6" t="n">
        <v>9</v>
      </c>
      <c r="P560" s="6" t="n">
        <v>0</v>
      </c>
      <c r="Q560" s="7">
        <f>R560/11</f>
        <v/>
      </c>
      <c r="R560" s="6" t="n">
        <v>0</v>
      </c>
      <c r="S560" s="6" t="n">
        <v>11</v>
      </c>
      <c r="T560" s="6" t="n">
        <v>0</v>
      </c>
      <c r="U560" s="7">
        <f>V560/14</f>
        <v/>
      </c>
      <c r="V560" s="6" t="n">
        <v>0</v>
      </c>
      <c r="W560" s="6" t="n">
        <v>14</v>
      </c>
      <c r="X560" s="6" t="n">
        <v>0</v>
      </c>
      <c r="Y560" s="8" t="n">
        <v>0.55</v>
      </c>
      <c r="Z560" s="27" t="inlineStr">
        <is>
          <t>Failed (หน้าพักโดเมน / โดเมนหมดอายุ)</t>
        </is>
      </c>
      <c r="AA560" s="2" t="inlineStr">
        <is>
          <t>2026-10-21 00:13:37</t>
        </is>
      </c>
    </row>
    <row r="561" ht="21.95" customHeight="1">
      <c r="A561" s="2" t="n">
        <v>560</v>
      </c>
      <c r="B561" s="31" t="inlineStr">
        <is>
          <t>http://www.dip.go.th</t>
        </is>
      </c>
      <c r="C561" s="2" t="inlineStr">
        <is>
          <t>หน่วยงานราชการ,องค์กร</t>
        </is>
      </c>
      <c r="D561" s="4">
        <f>F561/71</f>
        <v/>
      </c>
      <c r="E561" s="5">
        <f>IF(D561&gt;=0.9,"ดีเยี่ยม",IF(D561&gt;=0.7,"ดี",IF(D561&gt;=0.5,"พอใช้","ต้องปรับปรุง")))</f>
        <v/>
      </c>
      <c r="F561" s="6">
        <f>J561+N561+R561+V561</f>
        <v/>
      </c>
      <c r="G561" s="6">
        <f>K561+O561+S561+W561</f>
        <v/>
      </c>
      <c r="H561" s="6">
        <f>L561+P561+T561+X561</f>
        <v/>
      </c>
      <c r="I561" s="7">
        <f>J561/37</f>
        <v/>
      </c>
      <c r="J561" s="6" t="n">
        <v>36</v>
      </c>
      <c r="K561" s="6" t="n">
        <v>0</v>
      </c>
      <c r="L561" s="6" t="n">
        <v>1</v>
      </c>
      <c r="M561" s="7">
        <f>N561/9</f>
        <v/>
      </c>
      <c r="N561" s="6" t="n">
        <v>7</v>
      </c>
      <c r="O561" s="6" t="n">
        <v>2</v>
      </c>
      <c r="P561" s="6" t="n">
        <v>0</v>
      </c>
      <c r="Q561" s="7">
        <f>R561/11</f>
        <v/>
      </c>
      <c r="R561" s="6" t="n">
        <v>4</v>
      </c>
      <c r="S561" s="6" t="n">
        <v>3</v>
      </c>
      <c r="T561" s="6" t="n">
        <v>4</v>
      </c>
      <c r="U561" s="7">
        <f>V561/14</f>
        <v/>
      </c>
      <c r="V561" s="6" t="n">
        <v>4</v>
      </c>
      <c r="W561" s="6" t="n">
        <v>9</v>
      </c>
      <c r="X561" s="6" t="n">
        <v>1</v>
      </c>
      <c r="Y561" s="8" t="n">
        <v>20.06</v>
      </c>
      <c r="Z561" s="9" t="inlineStr">
        <is>
          <t>Success</t>
        </is>
      </c>
      <c r="AA561" s="2" t="inlineStr">
        <is>
          <t>2026-10-09 11:18:31</t>
        </is>
      </c>
    </row>
    <row r="562" ht="21.95" customHeight="1">
      <c r="A562" s="2" t="n">
        <v>561</v>
      </c>
      <c r="B562" s="31" t="inlineStr">
        <is>
          <t>http://www.siamscubadiving.com</t>
        </is>
      </c>
      <c r="C562" s="2" t="inlineStr">
        <is>
          <t>ท่องเที่ยว</t>
        </is>
      </c>
      <c r="D562" s="4">
        <f>F562/71</f>
        <v/>
      </c>
      <c r="E562" s="5">
        <f>IF(D562&gt;=0.9,"ดีเยี่ยม",IF(D562&gt;=0.7,"ดี",IF(D562&gt;=0.5,"พอใช้","ต้องปรับปรุง")))</f>
        <v/>
      </c>
      <c r="F562" s="6">
        <f>J562+N562+R562+V562</f>
        <v/>
      </c>
      <c r="G562" s="6">
        <f>K562+O562+S562+W562</f>
        <v/>
      </c>
      <c r="H562" s="6">
        <f>L562+P562+T562+X562</f>
        <v/>
      </c>
      <c r="I562" s="7">
        <f>J562/37</f>
        <v/>
      </c>
      <c r="J562" s="6" t="n">
        <v>36</v>
      </c>
      <c r="K562" s="6" t="n">
        <v>1</v>
      </c>
      <c r="L562" s="6" t="n">
        <v>0</v>
      </c>
      <c r="M562" s="7">
        <f>N562/9</f>
        <v/>
      </c>
      <c r="N562" s="6" t="n">
        <v>9</v>
      </c>
      <c r="O562" s="6" t="n">
        <v>0</v>
      </c>
      <c r="P562" s="6" t="n">
        <v>0</v>
      </c>
      <c r="Q562" s="7">
        <f>R562/11</f>
        <v/>
      </c>
      <c r="R562" s="6" t="n">
        <v>5</v>
      </c>
      <c r="S562" s="6" t="n">
        <v>3</v>
      </c>
      <c r="T562" s="6" t="n">
        <v>3</v>
      </c>
      <c r="U562" s="7">
        <f>V562/14</f>
        <v/>
      </c>
      <c r="V562" s="6" t="n">
        <v>2</v>
      </c>
      <c r="W562" s="6" t="n">
        <v>12</v>
      </c>
      <c r="X562" s="6" t="n">
        <v>0</v>
      </c>
      <c r="Y562" s="8" t="n">
        <v>49.44</v>
      </c>
      <c r="Z562" s="9" t="inlineStr">
        <is>
          <t>Success</t>
        </is>
      </c>
      <c r="AA562" s="2" t="inlineStr">
        <is>
          <t>2026-10-09 13:00:17</t>
        </is>
      </c>
    </row>
    <row r="563" ht="21.95" customHeight="1">
      <c r="A563" s="2" t="n">
        <v>562</v>
      </c>
      <c r="B563" s="31" t="inlineStr">
        <is>
          <t>http://www.semsikkha.org</t>
        </is>
      </c>
      <c r="C563" s="2" t="inlineStr">
        <is>
          <t>หน่วยงานราชการ,องค์กร</t>
        </is>
      </c>
      <c r="D563" s="4">
        <f>F563/71</f>
        <v/>
      </c>
      <c r="E563" s="5">
        <f>IF(D563&gt;=0.9,"ดีเยี่ยม",IF(D563&gt;=0.7,"ดี",IF(D563&gt;=0.5,"พอใช้","ต้องปรับปรุง")))</f>
        <v/>
      </c>
      <c r="F563" s="6">
        <f>J563+N563+R563+V563</f>
        <v/>
      </c>
      <c r="G563" s="6">
        <f>K563+O563+S563+W563</f>
        <v/>
      </c>
      <c r="H563" s="6">
        <f>L563+P563+T563+X563</f>
        <v/>
      </c>
      <c r="I563" s="7">
        <f>J563/37</f>
        <v/>
      </c>
      <c r="J563" s="6" t="n">
        <v>34</v>
      </c>
      <c r="K563" s="6" t="n">
        <v>2</v>
      </c>
      <c r="L563" s="6" t="n">
        <v>1</v>
      </c>
      <c r="M563" s="7">
        <f>N563/9</f>
        <v/>
      </c>
      <c r="N563" s="6" t="n">
        <v>7</v>
      </c>
      <c r="O563" s="6" t="n">
        <v>1</v>
      </c>
      <c r="P563" s="6" t="n">
        <v>1</v>
      </c>
      <c r="Q563" s="7">
        <f>R563/11</f>
        <v/>
      </c>
      <c r="R563" s="6" t="n">
        <v>7</v>
      </c>
      <c r="S563" s="6" t="n">
        <v>3</v>
      </c>
      <c r="T563" s="6" t="n">
        <v>1</v>
      </c>
      <c r="U563" s="7">
        <f>V563/14</f>
        <v/>
      </c>
      <c r="V563" s="6" t="n">
        <v>2</v>
      </c>
      <c r="W563" s="6" t="n">
        <v>12</v>
      </c>
      <c r="X563" s="6" t="n">
        <v>0</v>
      </c>
      <c r="Y563" s="8" t="n">
        <v>30.66</v>
      </c>
      <c r="Z563" s="9" t="inlineStr">
        <is>
          <t>Success</t>
        </is>
      </c>
      <c r="AA563" s="2" t="inlineStr">
        <is>
          <t>2026-10-09 11:19:51</t>
        </is>
      </c>
    </row>
    <row r="564" ht="21.95" customHeight="1">
      <c r="A564" s="2" t="n">
        <v>563</v>
      </c>
      <c r="B564" s="31" t="inlineStr">
        <is>
          <t>http://www.bbznet.com</t>
        </is>
      </c>
      <c r="C564" s="2" t="inlineStr">
        <is>
          <t>อินเทอร์เน็ต</t>
        </is>
      </c>
      <c r="D564" s="25">
        <f>F564/71</f>
        <v/>
      </c>
      <c r="E564" s="26">
        <f>IF(D564&gt;=0.9,"ดีเยี่ยม",IF(D564&gt;=0.7,"ดี",IF(D564&gt;=0.5,"พอใช้","ต้องปรับปรุง")))</f>
        <v/>
      </c>
      <c r="F564" s="6">
        <f>J564+N564+R564+V564</f>
        <v/>
      </c>
      <c r="G564" s="6">
        <f>K564+O564+S564+W564</f>
        <v/>
      </c>
      <c r="H564" s="6">
        <f>L564+P564+T564+X564</f>
        <v/>
      </c>
      <c r="I564" s="7">
        <f>J564/37</f>
        <v/>
      </c>
      <c r="J564" s="6" t="n">
        <v>0</v>
      </c>
      <c r="K564" s="6" t="n">
        <v>37</v>
      </c>
      <c r="L564" s="6" t="n">
        <v>0</v>
      </c>
      <c r="M564" s="7">
        <f>N564/9</f>
        <v/>
      </c>
      <c r="N564" s="6" t="n">
        <v>0</v>
      </c>
      <c r="O564" s="6" t="n">
        <v>9</v>
      </c>
      <c r="P564" s="6" t="n">
        <v>0</v>
      </c>
      <c r="Q564" s="7">
        <f>R564/11</f>
        <v/>
      </c>
      <c r="R564" s="6" t="n">
        <v>0</v>
      </c>
      <c r="S564" s="6" t="n">
        <v>11</v>
      </c>
      <c r="T564" s="6" t="n">
        <v>0</v>
      </c>
      <c r="U564" s="7">
        <f>V564/14</f>
        <v/>
      </c>
      <c r="V564" s="6" t="n">
        <v>0</v>
      </c>
      <c r="W564" s="6" t="n">
        <v>14</v>
      </c>
      <c r="X564" s="6" t="n">
        <v>0</v>
      </c>
      <c r="Y564" s="8" t="n">
        <v>24.15</v>
      </c>
      <c r="Z564" s="27" t="inlineStr">
        <is>
          <t>Failed (Timeout (เว็บไม่ตอบ))</t>
        </is>
      </c>
      <c r="AA564" s="2" t="inlineStr">
        <is>
          <t>2026-10-21 00:13:37</t>
        </is>
      </c>
    </row>
    <row r="565" ht="21.95" customHeight="1">
      <c r="A565" s="2" t="n">
        <v>564</v>
      </c>
      <c r="B565" s="31" t="inlineStr">
        <is>
          <t>http://www.bsk.ac.th</t>
        </is>
      </c>
      <c r="C565" s="2" t="inlineStr">
        <is>
          <t>การศึกษา</t>
        </is>
      </c>
      <c r="D565" s="4">
        <f>F565/71</f>
        <v/>
      </c>
      <c r="E565" s="5">
        <f>IF(D565&gt;=0.9,"ดีเยี่ยม",IF(D565&gt;=0.7,"ดี",IF(D565&gt;=0.5,"พอใช้","ต้องปรับปรุง")))</f>
        <v/>
      </c>
      <c r="F565" s="6">
        <f>J565+N565+R565+V565</f>
        <v/>
      </c>
      <c r="G565" s="6">
        <f>K565+O565+S565+W565</f>
        <v/>
      </c>
      <c r="H565" s="6">
        <f>L565+P565+T565+X565</f>
        <v/>
      </c>
      <c r="I565" s="7">
        <f>J565/37</f>
        <v/>
      </c>
      <c r="J565" s="6" t="n">
        <v>37</v>
      </c>
      <c r="K565" s="6" t="n">
        <v>0</v>
      </c>
      <c r="L565" s="6" t="n">
        <v>0</v>
      </c>
      <c r="M565" s="7">
        <f>N565/9</f>
        <v/>
      </c>
      <c r="N565" s="6" t="n">
        <v>9</v>
      </c>
      <c r="O565" s="6" t="n">
        <v>0</v>
      </c>
      <c r="P565" s="6" t="n">
        <v>0</v>
      </c>
      <c r="Q565" s="7">
        <f>R565/11</f>
        <v/>
      </c>
      <c r="R565" s="6" t="n">
        <v>7</v>
      </c>
      <c r="S565" s="6" t="n">
        <v>2</v>
      </c>
      <c r="T565" s="6" t="n">
        <v>2</v>
      </c>
      <c r="U565" s="7">
        <f>V565/14</f>
        <v/>
      </c>
      <c r="V565" s="6" t="n">
        <v>9</v>
      </c>
      <c r="W565" s="6" t="n">
        <v>4</v>
      </c>
      <c r="X565" s="6" t="n">
        <v>1</v>
      </c>
      <c r="Y565" s="8" t="n">
        <v>8.6</v>
      </c>
      <c r="Z565" s="9" t="inlineStr">
        <is>
          <t>Success</t>
        </is>
      </c>
      <c r="AA565" s="2" t="inlineStr">
        <is>
          <t>2026-10-09 11:20:48</t>
        </is>
      </c>
    </row>
    <row r="566" ht="21.95" customHeight="1">
      <c r="A566" s="2" t="n">
        <v>565</v>
      </c>
      <c r="B566" s="31" t="inlineStr">
        <is>
          <t>http://www.sinsae.com</t>
        </is>
      </c>
      <c r="C566" s="2" t="inlineStr">
        <is>
          <t>บันเทิง</t>
        </is>
      </c>
      <c r="D566" s="10">
        <f>F566/71</f>
        <v/>
      </c>
      <c r="E566" s="11">
        <f>IF(D566&gt;=0.9,"ดีเยี่ยม",IF(D566&gt;=0.7,"ดี",IF(D566&gt;=0.5,"พอใช้","ต้องปรับปรุง")))</f>
        <v/>
      </c>
      <c r="F566" s="6">
        <f>J566+N566+R566+V566</f>
        <v/>
      </c>
      <c r="G566" s="6">
        <f>K566+O566+S566+W566</f>
        <v/>
      </c>
      <c r="H566" s="6">
        <f>L566+P566+T566+X566</f>
        <v/>
      </c>
      <c r="I566" s="7">
        <f>J566/37</f>
        <v/>
      </c>
      <c r="J566" s="6" t="n">
        <v>33</v>
      </c>
      <c r="K566" s="6" t="n">
        <v>4</v>
      </c>
      <c r="L566" s="6" t="n">
        <v>0</v>
      </c>
      <c r="M566" s="7">
        <f>N566/9</f>
        <v/>
      </c>
      <c r="N566" s="6" t="n">
        <v>7</v>
      </c>
      <c r="O566" s="6" t="n">
        <v>2</v>
      </c>
      <c r="P566" s="6" t="n">
        <v>0</v>
      </c>
      <c r="Q566" s="7">
        <f>R566/11</f>
        <v/>
      </c>
      <c r="R566" s="6" t="n">
        <v>4</v>
      </c>
      <c r="S566" s="6" t="n">
        <v>3</v>
      </c>
      <c r="T566" s="6" t="n">
        <v>4</v>
      </c>
      <c r="U566" s="7">
        <f>V566/14</f>
        <v/>
      </c>
      <c r="V566" s="6" t="n">
        <v>2</v>
      </c>
      <c r="W566" s="6" t="n">
        <v>12</v>
      </c>
      <c r="X566" s="6" t="n">
        <v>0</v>
      </c>
      <c r="Y566" s="8" t="n">
        <v>20.83</v>
      </c>
      <c r="Z566" s="9" t="inlineStr">
        <is>
          <t>Success</t>
        </is>
      </c>
      <c r="AA566" s="2" t="inlineStr">
        <is>
          <t>2026-10-09 11:21:09</t>
        </is>
      </c>
    </row>
    <row r="567" ht="21.95" customHeight="1">
      <c r="A567" s="2" t="n">
        <v>566</v>
      </c>
      <c r="B567" s="31" t="inlineStr">
        <is>
          <t>http://www.mazdaclub.net</t>
        </is>
      </c>
      <c r="C567" s="2" t="inlineStr">
        <is>
          <t>ยานยนต์</t>
        </is>
      </c>
      <c r="D567" s="10">
        <f>F567/71</f>
        <v/>
      </c>
      <c r="E567" s="11">
        <f>IF(D567&gt;=0.9,"ดีเยี่ยม",IF(D567&gt;=0.7,"ดี",IF(D567&gt;=0.5,"พอใช้","ต้องปรับปรุง")))</f>
        <v/>
      </c>
      <c r="F567" s="6">
        <f>J567+N567+R567+V567</f>
        <v/>
      </c>
      <c r="G567" s="6">
        <f>K567+O567+S567+W567</f>
        <v/>
      </c>
      <c r="H567" s="6">
        <f>L567+P567+T567+X567</f>
        <v/>
      </c>
      <c r="I567" s="7">
        <f>J567/37</f>
        <v/>
      </c>
      <c r="J567" s="6" t="n">
        <v>35</v>
      </c>
      <c r="K567" s="6" t="n">
        <v>1</v>
      </c>
      <c r="L567" s="6" t="n">
        <v>1</v>
      </c>
      <c r="M567" s="7">
        <f>N567/9</f>
        <v/>
      </c>
      <c r="N567" s="6" t="n">
        <v>7</v>
      </c>
      <c r="O567" s="6" t="n">
        <v>2</v>
      </c>
      <c r="P567" s="6" t="n">
        <v>0</v>
      </c>
      <c r="Q567" s="7">
        <f>R567/11</f>
        <v/>
      </c>
      <c r="R567" s="6" t="n">
        <v>4</v>
      </c>
      <c r="S567" s="6" t="n">
        <v>3</v>
      </c>
      <c r="T567" s="6" t="n">
        <v>4</v>
      </c>
      <c r="U567" s="7">
        <f>V567/14</f>
        <v/>
      </c>
      <c r="V567" s="6" t="n">
        <v>2</v>
      </c>
      <c r="W567" s="6" t="n">
        <v>12</v>
      </c>
      <c r="X567" s="6" t="n">
        <v>0</v>
      </c>
      <c r="Y567" s="8" t="n">
        <v>19.68</v>
      </c>
      <c r="Z567" s="9" t="inlineStr">
        <is>
          <t>Success</t>
        </is>
      </c>
      <c r="AA567" s="2" t="inlineStr">
        <is>
          <t>2026-10-09 11:21:29</t>
        </is>
      </c>
    </row>
    <row r="568" ht="21.95" customHeight="1">
      <c r="A568" s="2" t="n">
        <v>567</v>
      </c>
      <c r="B568" s="31" t="inlineStr">
        <is>
          <t>http://www.tiptoys.com</t>
        </is>
      </c>
      <c r="C568" s="2" t="inlineStr">
        <is>
          <t>ช๊อปปิ้ง</t>
        </is>
      </c>
      <c r="D568" s="25">
        <f>F568/71</f>
        <v/>
      </c>
      <c r="E568" s="26">
        <f>IF(D568&gt;=0.9,"ดีเยี่ยม",IF(D568&gt;=0.7,"ดี",IF(D568&gt;=0.5,"พอใช้","ต้องปรับปรุง")))</f>
        <v/>
      </c>
      <c r="F568" s="6">
        <f>J568+N568+R568+V568</f>
        <v/>
      </c>
      <c r="G568" s="6">
        <f>K568+O568+S568+W568</f>
        <v/>
      </c>
      <c r="H568" s="6">
        <f>L568+P568+T568+X568</f>
        <v/>
      </c>
      <c r="I568" s="7">
        <f>J568/37</f>
        <v/>
      </c>
      <c r="J568" s="6" t="n">
        <v>0</v>
      </c>
      <c r="K568" s="6" t="n">
        <v>37</v>
      </c>
      <c r="L568" s="6" t="n">
        <v>0</v>
      </c>
      <c r="M568" s="7">
        <f>N568/9</f>
        <v/>
      </c>
      <c r="N568" s="6" t="n">
        <v>0</v>
      </c>
      <c r="O568" s="6" t="n">
        <v>9</v>
      </c>
      <c r="P568" s="6" t="n">
        <v>0</v>
      </c>
      <c r="Q568" s="7">
        <f>R568/11</f>
        <v/>
      </c>
      <c r="R568" s="6" t="n">
        <v>0</v>
      </c>
      <c r="S568" s="6" t="n">
        <v>11</v>
      </c>
      <c r="T568" s="6" t="n">
        <v>0</v>
      </c>
      <c r="U568" s="7">
        <f>V568/14</f>
        <v/>
      </c>
      <c r="V568" s="6" t="n">
        <v>0</v>
      </c>
      <c r="W568" s="6" t="n">
        <v>14</v>
      </c>
      <c r="X568" s="6" t="n">
        <v>0</v>
      </c>
      <c r="Y568" s="8" t="n">
        <v>1.34</v>
      </c>
      <c r="Z568" s="27" t="inlineStr">
        <is>
          <t>Failed (หน้าพักโดเมน / โดเมนหมดอายุ)</t>
        </is>
      </c>
      <c r="AA568" s="2" t="inlineStr">
        <is>
          <t>2026-10-21 00:13:37</t>
        </is>
      </c>
    </row>
    <row r="569" ht="21.95" customHeight="1">
      <c r="A569" s="2" t="n">
        <v>568</v>
      </c>
      <c r="B569" s="31" t="inlineStr">
        <is>
          <t>http://www.kikumobile.com</t>
        </is>
      </c>
      <c r="C569" s="2" t="inlineStr">
        <is>
          <t>มือถือ-พีดีเอ</t>
        </is>
      </c>
      <c r="D569" s="25">
        <f>F569/71</f>
        <v/>
      </c>
      <c r="E569" s="26">
        <f>IF(D569&gt;=0.9,"ดีเยี่ยม",IF(D569&gt;=0.7,"ดี",IF(D569&gt;=0.5,"พอใช้","ต้องปรับปรุง")))</f>
        <v/>
      </c>
      <c r="F569" s="6">
        <f>J569+N569+R569+V569</f>
        <v/>
      </c>
      <c r="G569" s="6">
        <f>K569+O569+S569+W569</f>
        <v/>
      </c>
      <c r="H569" s="6">
        <f>L569+P569+T569+X569</f>
        <v/>
      </c>
      <c r="I569" s="7">
        <f>J569/37</f>
        <v/>
      </c>
      <c r="J569" s="6" t="n">
        <v>0</v>
      </c>
      <c r="K569" s="6" t="n">
        <v>37</v>
      </c>
      <c r="L569" s="6" t="n">
        <v>0</v>
      </c>
      <c r="M569" s="7">
        <f>N569/9</f>
        <v/>
      </c>
      <c r="N569" s="6" t="n">
        <v>0</v>
      </c>
      <c r="O569" s="6" t="n">
        <v>9</v>
      </c>
      <c r="P569" s="6" t="n">
        <v>0</v>
      </c>
      <c r="Q569" s="7">
        <f>R569/11</f>
        <v/>
      </c>
      <c r="R569" s="6" t="n">
        <v>0</v>
      </c>
      <c r="S569" s="6" t="n">
        <v>11</v>
      </c>
      <c r="T569" s="6" t="n">
        <v>0</v>
      </c>
      <c r="U569" s="7">
        <f>V569/14</f>
        <v/>
      </c>
      <c r="V569" s="6" t="n">
        <v>0</v>
      </c>
      <c r="W569" s="6" t="n">
        <v>14</v>
      </c>
      <c r="X569" s="6" t="n">
        <v>0</v>
      </c>
      <c r="Y569" s="8" t="n">
        <v>0.03</v>
      </c>
      <c r="Z569" s="27" t="inlineStr">
        <is>
          <t>Failed (DNS Error (หาเว็บไม่เจอ))</t>
        </is>
      </c>
      <c r="AA569" s="2" t="inlineStr">
        <is>
          <t>2026-10-21 00:13:37</t>
        </is>
      </c>
    </row>
    <row r="570" ht="21.95" customHeight="1">
      <c r="A570" s="2" t="n">
        <v>569</v>
      </c>
      <c r="B570" s="31" t="inlineStr">
        <is>
          <t>http://www.siamza.com</t>
        </is>
      </c>
      <c r="C570" s="2" t="inlineStr">
        <is>
          <t>บันเทิง</t>
        </is>
      </c>
      <c r="D570" s="25">
        <f>F570/71</f>
        <v/>
      </c>
      <c r="E570" s="26">
        <f>IF(D570&gt;=0.9,"ดีเยี่ยม",IF(D570&gt;=0.7,"ดี",IF(D570&gt;=0.5,"พอใช้","ต้องปรับปรุง")))</f>
        <v/>
      </c>
      <c r="F570" s="6">
        <f>J570+N570+R570+V570</f>
        <v/>
      </c>
      <c r="G570" s="6">
        <f>K570+O570+S570+W570</f>
        <v/>
      </c>
      <c r="H570" s="6">
        <f>L570+P570+T570+X570</f>
        <v/>
      </c>
      <c r="I570" s="7">
        <f>J570/37</f>
        <v/>
      </c>
      <c r="J570" s="6" t="n">
        <v>0</v>
      </c>
      <c r="K570" s="6" t="n">
        <v>37</v>
      </c>
      <c r="L570" s="6" t="n">
        <v>0</v>
      </c>
      <c r="M570" s="7">
        <f>N570/9</f>
        <v/>
      </c>
      <c r="N570" s="6" t="n">
        <v>0</v>
      </c>
      <c r="O570" s="6" t="n">
        <v>9</v>
      </c>
      <c r="P570" s="6" t="n">
        <v>0</v>
      </c>
      <c r="Q570" s="7">
        <f>R570/11</f>
        <v/>
      </c>
      <c r="R570" s="6" t="n">
        <v>0</v>
      </c>
      <c r="S570" s="6" t="n">
        <v>11</v>
      </c>
      <c r="T570" s="6" t="n">
        <v>0</v>
      </c>
      <c r="U570" s="7">
        <f>V570/14</f>
        <v/>
      </c>
      <c r="V570" s="6" t="n">
        <v>0</v>
      </c>
      <c r="W570" s="6" t="n">
        <v>14</v>
      </c>
      <c r="X570" s="6" t="n">
        <v>0</v>
      </c>
      <c r="Y570" s="8" t="n">
        <v>0.93</v>
      </c>
      <c r="Z570" s="27" t="inlineStr">
        <is>
          <t>Failed (จอขาว / ไม่มีเนื้อหา (Blank Screen))</t>
        </is>
      </c>
      <c r="AA570" s="2" t="inlineStr">
        <is>
          <t>2026-10-21 00:13:37</t>
        </is>
      </c>
    </row>
    <row r="571" ht="21.95" customHeight="1">
      <c r="A571" s="2" t="n">
        <v>570</v>
      </c>
      <c r="B571" s="31" t="inlineStr">
        <is>
          <t>http://www.caraudionetwork.com</t>
        </is>
      </c>
      <c r="C571" s="2" t="inlineStr">
        <is>
          <t>ยานยนต์</t>
        </is>
      </c>
      <c r="D571" s="4">
        <f>F571/71</f>
        <v/>
      </c>
      <c r="E571" s="5">
        <f>IF(D571&gt;=0.9,"ดีเยี่ยม",IF(D571&gt;=0.7,"ดี",IF(D571&gt;=0.5,"พอใช้","ต้องปรับปรุง")))</f>
        <v/>
      </c>
      <c r="F571" s="6">
        <f>J571+N571+R571+V571</f>
        <v/>
      </c>
      <c r="G571" s="6">
        <f>K571+O571+S571+W571</f>
        <v/>
      </c>
      <c r="H571" s="6">
        <f>L571+P571+T571+X571</f>
        <v/>
      </c>
      <c r="I571" s="7">
        <f>J571/37</f>
        <v/>
      </c>
      <c r="J571" s="6" t="n">
        <v>37</v>
      </c>
      <c r="K571" s="6" t="n">
        <v>0</v>
      </c>
      <c r="L571" s="6" t="n">
        <v>0</v>
      </c>
      <c r="M571" s="7">
        <f>N571/9</f>
        <v/>
      </c>
      <c r="N571" s="6" t="n">
        <v>6</v>
      </c>
      <c r="O571" s="6" t="n">
        <v>3</v>
      </c>
      <c r="P571" s="6" t="n">
        <v>0</v>
      </c>
      <c r="Q571" s="7">
        <f>R571/11</f>
        <v/>
      </c>
      <c r="R571" s="6" t="n">
        <v>6</v>
      </c>
      <c r="S571" s="6" t="n">
        <v>2</v>
      </c>
      <c r="T571" s="6" t="n">
        <v>3</v>
      </c>
      <c r="U571" s="7">
        <f>V571/14</f>
        <v/>
      </c>
      <c r="V571" s="6" t="n">
        <v>4</v>
      </c>
      <c r="W571" s="6" t="n">
        <v>9</v>
      </c>
      <c r="X571" s="6" t="n">
        <v>1</v>
      </c>
      <c r="Y571" s="8" t="n">
        <v>22.22</v>
      </c>
      <c r="Z571" s="9" t="inlineStr">
        <is>
          <t>Success</t>
        </is>
      </c>
      <c r="AA571" s="2" t="inlineStr">
        <is>
          <t>2026-10-09 11:23:01</t>
        </is>
      </c>
    </row>
    <row r="572" ht="21.95" customHeight="1">
      <c r="A572" s="2" t="n">
        <v>571</v>
      </c>
      <c r="B572" s="31" t="inlineStr">
        <is>
          <t>http://www.trainingthai.com</t>
        </is>
      </c>
      <c r="C572" s="2" t="inlineStr">
        <is>
          <t>การศึกษา</t>
        </is>
      </c>
      <c r="D572" s="10">
        <f>F572/71</f>
        <v/>
      </c>
      <c r="E572" s="11">
        <f>IF(D572&gt;=0.9,"ดีเยี่ยม",IF(D572&gt;=0.7,"ดี",IF(D572&gt;=0.5,"พอใช้","ต้องปรับปรุง")))</f>
        <v/>
      </c>
      <c r="F572" s="6">
        <f>J572+N572+R572+V572</f>
        <v/>
      </c>
      <c r="G572" s="6">
        <f>K572+O572+S572+W572</f>
        <v/>
      </c>
      <c r="H572" s="6">
        <f>L572+P572+T572+X572</f>
        <v/>
      </c>
      <c r="I572" s="7">
        <f>J572/37</f>
        <v/>
      </c>
      <c r="J572" s="6" t="n">
        <v>36</v>
      </c>
      <c r="K572" s="6" t="n">
        <v>1</v>
      </c>
      <c r="L572" s="6" t="n">
        <v>0</v>
      </c>
      <c r="M572" s="7">
        <f>N572/9</f>
        <v/>
      </c>
      <c r="N572" s="6" t="n">
        <v>9</v>
      </c>
      <c r="O572" s="6" t="n">
        <v>0</v>
      </c>
      <c r="P572" s="6" t="n">
        <v>0</v>
      </c>
      <c r="Q572" s="7">
        <f>R572/11</f>
        <v/>
      </c>
      <c r="R572" s="6" t="n">
        <v>4</v>
      </c>
      <c r="S572" s="6" t="n">
        <v>0</v>
      </c>
      <c r="T572" s="6" t="n">
        <v>7</v>
      </c>
      <c r="U572" s="7">
        <f>V572/14</f>
        <v/>
      </c>
      <c r="V572" s="6" t="n">
        <v>0</v>
      </c>
      <c r="W572" s="6" t="n">
        <v>0</v>
      </c>
      <c r="X572" s="6" t="n">
        <v>14</v>
      </c>
      <c r="Y572" s="8" t="n">
        <v>34.76</v>
      </c>
      <c r="Z572" s="9" t="inlineStr">
        <is>
          <t>Success</t>
        </is>
      </c>
      <c r="AA572" s="2" t="inlineStr">
        <is>
          <t>2026-10-09 13:02:17</t>
        </is>
      </c>
    </row>
    <row r="573" ht="21.95" customHeight="1">
      <c r="A573" s="2" t="n">
        <v>572</v>
      </c>
      <c r="B573" s="31" t="inlineStr">
        <is>
          <t>http://www.maceducation.com</t>
        </is>
      </c>
      <c r="C573" s="2" t="inlineStr">
        <is>
          <t>ข่าว-สื่อ</t>
        </is>
      </c>
      <c r="D573" s="10">
        <f>F573/71</f>
        <v/>
      </c>
      <c r="E573" s="11">
        <f>IF(D573&gt;=0.9,"ดีเยี่ยม",IF(D573&gt;=0.7,"ดี",IF(D573&gt;=0.5,"พอใช้","ต้องปรับปรุง")))</f>
        <v/>
      </c>
      <c r="F573" s="6">
        <f>J573+N573+R573+V573</f>
        <v/>
      </c>
      <c r="G573" s="6">
        <f>K573+O573+S573+W573</f>
        <v/>
      </c>
      <c r="H573" s="6">
        <f>L573+P573+T573+X573</f>
        <v/>
      </c>
      <c r="I573" s="7">
        <f>J573/37</f>
        <v/>
      </c>
      <c r="J573" s="6" t="n">
        <v>35</v>
      </c>
      <c r="K573" s="6" t="n">
        <v>2</v>
      </c>
      <c r="L573" s="6" t="n">
        <v>0</v>
      </c>
      <c r="M573" s="7">
        <f>N573/9</f>
        <v/>
      </c>
      <c r="N573" s="6" t="n">
        <v>6</v>
      </c>
      <c r="O573" s="6" t="n">
        <v>3</v>
      </c>
      <c r="P573" s="6" t="n">
        <v>0</v>
      </c>
      <c r="Q573" s="7">
        <f>R573/11</f>
        <v/>
      </c>
      <c r="R573" s="6" t="n">
        <v>4</v>
      </c>
      <c r="S573" s="6" t="n">
        <v>3</v>
      </c>
      <c r="T573" s="6" t="n">
        <v>4</v>
      </c>
      <c r="U573" s="7">
        <f>V573/14</f>
        <v/>
      </c>
      <c r="V573" s="6" t="n">
        <v>2</v>
      </c>
      <c r="W573" s="6" t="n">
        <v>12</v>
      </c>
      <c r="X573" s="6" t="n">
        <v>0</v>
      </c>
      <c r="Y573" s="8" t="n">
        <v>26.11</v>
      </c>
      <c r="Z573" s="9" t="inlineStr">
        <is>
          <t>Success</t>
        </is>
      </c>
      <c r="AA573" s="2" t="inlineStr">
        <is>
          <t>2026-10-09 11:24:03</t>
        </is>
      </c>
    </row>
    <row r="574" ht="21.95" customHeight="1">
      <c r="A574" s="2" t="n">
        <v>573</v>
      </c>
      <c r="B574" s="31" t="inlineStr">
        <is>
          <t>http://www.thaizone.com</t>
        </is>
      </c>
      <c r="C574" s="2" t="inlineStr">
        <is>
          <t>อินเทอร์เน็ต</t>
        </is>
      </c>
      <c r="D574" s="10">
        <f>F574/71</f>
        <v/>
      </c>
      <c r="E574" s="11">
        <f>IF(D574&gt;=0.9,"ดีเยี่ยม",IF(D574&gt;=0.7,"ดี",IF(D574&gt;=0.5,"พอใช้","ต้องปรับปรุง")))</f>
        <v/>
      </c>
      <c r="F574" s="6">
        <f>J574+N574+R574+V574</f>
        <v/>
      </c>
      <c r="G574" s="6">
        <f>K574+O574+S574+W574</f>
        <v/>
      </c>
      <c r="H574" s="6">
        <f>L574+P574+T574+X574</f>
        <v/>
      </c>
      <c r="I574" s="7">
        <f>J574/37</f>
        <v/>
      </c>
      <c r="J574" s="6" t="n">
        <v>31</v>
      </c>
      <c r="K574" s="6" t="n">
        <v>5</v>
      </c>
      <c r="L574" s="6" t="n">
        <v>1</v>
      </c>
      <c r="M574" s="7">
        <f>N574/9</f>
        <v/>
      </c>
      <c r="N574" s="6" t="n">
        <v>6</v>
      </c>
      <c r="O574" s="6" t="n">
        <v>3</v>
      </c>
      <c r="P574" s="6" t="n">
        <v>0</v>
      </c>
      <c r="Q574" s="7">
        <f>R574/11</f>
        <v/>
      </c>
      <c r="R574" s="6" t="n">
        <v>4</v>
      </c>
      <c r="S574" s="6" t="n">
        <v>3</v>
      </c>
      <c r="T574" s="6" t="n">
        <v>4</v>
      </c>
      <c r="U574" s="7">
        <f>V574/14</f>
        <v/>
      </c>
      <c r="V574" s="6" t="n">
        <v>2</v>
      </c>
      <c r="W574" s="6" t="n">
        <v>12</v>
      </c>
      <c r="X574" s="6" t="n">
        <v>0</v>
      </c>
      <c r="Y574" s="8" t="n">
        <v>19.63</v>
      </c>
      <c r="Z574" s="9" t="inlineStr">
        <is>
          <t>Success</t>
        </is>
      </c>
      <c r="AA574" s="2" t="inlineStr">
        <is>
          <t>2026-10-09 11:24:22</t>
        </is>
      </c>
    </row>
    <row r="575" ht="21.95" customHeight="1">
      <c r="A575" s="2" t="n">
        <v>574</v>
      </c>
      <c r="B575" s="31" t="inlineStr">
        <is>
          <t>http://www.jobbyyou.com</t>
        </is>
      </c>
      <c r="C575" s="2" t="inlineStr">
        <is>
          <t>ธุรกิจ</t>
        </is>
      </c>
      <c r="D575" s="10">
        <f>F575/71</f>
        <v/>
      </c>
      <c r="E575" s="11">
        <f>IF(D575&gt;=0.9,"ดีเยี่ยม",IF(D575&gt;=0.7,"ดี",IF(D575&gt;=0.5,"พอใช้","ต้องปรับปรุง")))</f>
        <v/>
      </c>
      <c r="F575" s="6">
        <f>J575+N575+R575+V575</f>
        <v/>
      </c>
      <c r="G575" s="6">
        <f>K575+O575+S575+W575</f>
        <v/>
      </c>
      <c r="H575" s="6">
        <f>L575+P575+T575+X575</f>
        <v/>
      </c>
      <c r="I575" s="7">
        <f>J575/37</f>
        <v/>
      </c>
      <c r="J575" s="6" t="n">
        <v>34</v>
      </c>
      <c r="K575" s="6" t="n">
        <v>3</v>
      </c>
      <c r="L575" s="6" t="n">
        <v>0</v>
      </c>
      <c r="M575" s="7">
        <f>N575/9</f>
        <v/>
      </c>
      <c r="N575" s="6" t="n">
        <v>6</v>
      </c>
      <c r="O575" s="6" t="n">
        <v>2</v>
      </c>
      <c r="P575" s="6" t="n">
        <v>1</v>
      </c>
      <c r="Q575" s="7">
        <f>R575/11</f>
        <v/>
      </c>
      <c r="R575" s="6" t="n">
        <v>4</v>
      </c>
      <c r="S575" s="6" t="n">
        <v>3</v>
      </c>
      <c r="T575" s="6" t="n">
        <v>4</v>
      </c>
      <c r="U575" s="7">
        <f>V575/14</f>
        <v/>
      </c>
      <c r="V575" s="6" t="n">
        <v>2</v>
      </c>
      <c r="W575" s="6" t="n">
        <v>12</v>
      </c>
      <c r="X575" s="6" t="n">
        <v>0</v>
      </c>
      <c r="Y575" s="8" t="n">
        <v>16.99</v>
      </c>
      <c r="Z575" s="9" t="inlineStr">
        <is>
          <t>Success</t>
        </is>
      </c>
      <c r="AA575" s="2" t="inlineStr">
        <is>
          <t>2026-10-09 11:24:40</t>
        </is>
      </c>
    </row>
    <row r="576" ht="21.95" customHeight="1">
      <c r="A576" s="2" t="n">
        <v>575</v>
      </c>
      <c r="B576" s="31" t="inlineStr">
        <is>
          <t>http://www.chaambeach.com</t>
        </is>
      </c>
      <c r="C576" s="2" t="inlineStr">
        <is>
          <t>ท่องเที่ยว</t>
        </is>
      </c>
      <c r="D576" s="25">
        <f>F576/71</f>
        <v/>
      </c>
      <c r="E576" s="26">
        <f>IF(D576&gt;=0.9,"ดีเยี่ยม",IF(D576&gt;=0.7,"ดี",IF(D576&gt;=0.5,"พอใช้","ต้องปรับปรุง")))</f>
        <v/>
      </c>
      <c r="F576" s="6">
        <f>J576+N576+R576+V576</f>
        <v/>
      </c>
      <c r="G576" s="6">
        <f>K576+O576+S576+W576</f>
        <v/>
      </c>
      <c r="H576" s="6">
        <f>L576+P576+T576+X576</f>
        <v/>
      </c>
      <c r="I576" s="7">
        <f>J576/37</f>
        <v/>
      </c>
      <c r="J576" s="6" t="n">
        <v>0</v>
      </c>
      <c r="K576" s="6" t="n">
        <v>37</v>
      </c>
      <c r="L576" s="6" t="n">
        <v>0</v>
      </c>
      <c r="M576" s="7">
        <f>N576/9</f>
        <v/>
      </c>
      <c r="N576" s="6" t="n">
        <v>0</v>
      </c>
      <c r="O576" s="6" t="n">
        <v>9</v>
      </c>
      <c r="P576" s="6" t="n">
        <v>0</v>
      </c>
      <c r="Q576" s="7">
        <f>R576/11</f>
        <v/>
      </c>
      <c r="R576" s="6" t="n">
        <v>0</v>
      </c>
      <c r="S576" s="6" t="n">
        <v>11</v>
      </c>
      <c r="T576" s="6" t="n">
        <v>0</v>
      </c>
      <c r="U576" s="7">
        <f>V576/14</f>
        <v/>
      </c>
      <c r="V576" s="6" t="n">
        <v>0</v>
      </c>
      <c r="W576" s="6" t="n">
        <v>14</v>
      </c>
      <c r="X576" s="6" t="n">
        <v>0</v>
      </c>
      <c r="Y576" s="8" t="n">
        <v>24.48</v>
      </c>
      <c r="Z576" s="27" t="inlineStr">
        <is>
          <t>Failed (Timeout (เว็บไม่ตอบ))</t>
        </is>
      </c>
      <c r="AA576" s="2" t="inlineStr">
        <is>
          <t>2026-10-21 00:13:37</t>
        </is>
      </c>
    </row>
    <row r="577" ht="21.95" customHeight="1">
      <c r="A577" s="2" t="n">
        <v>576</v>
      </c>
      <c r="B577" s="31" t="inlineStr">
        <is>
          <t>http://diaryclub.com</t>
        </is>
      </c>
      <c r="C577" s="2" t="inlineStr">
        <is>
          <t>บุคคล-สังคม</t>
        </is>
      </c>
      <c r="D577" s="25">
        <f>F577/71</f>
        <v/>
      </c>
      <c r="E577" s="26">
        <f>IF(D577&gt;=0.9,"ดีเยี่ยม",IF(D577&gt;=0.7,"ดี",IF(D577&gt;=0.5,"พอใช้","ต้องปรับปรุง")))</f>
        <v/>
      </c>
      <c r="F577" s="6">
        <f>J577+N577+R577+V577</f>
        <v/>
      </c>
      <c r="G577" s="6">
        <f>K577+O577+S577+W577</f>
        <v/>
      </c>
      <c r="H577" s="6">
        <f>L577+P577+T577+X577</f>
        <v/>
      </c>
      <c r="I577" s="7">
        <f>J577/37</f>
        <v/>
      </c>
      <c r="J577" s="6" t="n">
        <v>0</v>
      </c>
      <c r="K577" s="6" t="n">
        <v>37</v>
      </c>
      <c r="L577" s="6" t="n">
        <v>0</v>
      </c>
      <c r="M577" s="7">
        <f>N577/9</f>
        <v/>
      </c>
      <c r="N577" s="6" t="n">
        <v>0</v>
      </c>
      <c r="O577" s="6" t="n">
        <v>9</v>
      </c>
      <c r="P577" s="6" t="n">
        <v>0</v>
      </c>
      <c r="Q577" s="7">
        <f>R577/11</f>
        <v/>
      </c>
      <c r="R577" s="6" t="n">
        <v>0</v>
      </c>
      <c r="S577" s="6" t="n">
        <v>11</v>
      </c>
      <c r="T577" s="6" t="n">
        <v>0</v>
      </c>
      <c r="U577" s="7">
        <f>V577/14</f>
        <v/>
      </c>
      <c r="V577" s="6" t="n">
        <v>0</v>
      </c>
      <c r="W577" s="6" t="n">
        <v>14</v>
      </c>
      <c r="X577" s="6" t="n">
        <v>0</v>
      </c>
      <c r="Y577" s="8" t="n">
        <v>1.01</v>
      </c>
      <c r="Z577" s="27" t="inlineStr">
        <is>
          <t>Failed (โดนบล็อก / เข้าถึงไม่ได้ (HTTP 403))</t>
        </is>
      </c>
      <c r="AA577" s="2" t="inlineStr">
        <is>
          <t>2026-10-21 00:13:37</t>
        </is>
      </c>
    </row>
    <row r="578" ht="21.95" customHeight="1">
      <c r="A578" s="2" t="n">
        <v>577</v>
      </c>
      <c r="B578" s="31" t="inlineStr">
        <is>
          <t>http://www.dud-d.com</t>
        </is>
      </c>
      <c r="C578" s="2" t="inlineStr">
        <is>
          <t>ธุรกิจ</t>
        </is>
      </c>
      <c r="D578" s="4">
        <f>F578/71</f>
        <v/>
      </c>
      <c r="E578" s="5">
        <f>IF(D578&gt;=0.9,"ดีเยี่ยม",IF(D578&gt;=0.7,"ดี",IF(D578&gt;=0.5,"พอใช้","ต้องปรับปรุง")))</f>
        <v/>
      </c>
      <c r="F578" s="6">
        <f>J578+N578+R578+V578</f>
        <v/>
      </c>
      <c r="G578" s="6">
        <f>K578+O578+S578+W578</f>
        <v/>
      </c>
      <c r="H578" s="6">
        <f>L578+P578+T578+X578</f>
        <v/>
      </c>
      <c r="I578" s="7">
        <f>J578/37</f>
        <v/>
      </c>
      <c r="J578" s="6" t="n">
        <v>36</v>
      </c>
      <c r="K578" s="6" t="n">
        <v>1</v>
      </c>
      <c r="L578" s="6" t="n">
        <v>0</v>
      </c>
      <c r="M578" s="7">
        <f>N578/9</f>
        <v/>
      </c>
      <c r="N578" s="6" t="n">
        <v>7</v>
      </c>
      <c r="O578" s="6" t="n">
        <v>1</v>
      </c>
      <c r="P578" s="6" t="n">
        <v>1</v>
      </c>
      <c r="Q578" s="7">
        <f>R578/11</f>
        <v/>
      </c>
      <c r="R578" s="6" t="n">
        <v>8</v>
      </c>
      <c r="S578" s="6" t="n">
        <v>2</v>
      </c>
      <c r="T578" s="6" t="n">
        <v>1</v>
      </c>
      <c r="U578" s="7">
        <f>V578/14</f>
        <v/>
      </c>
      <c r="V578" s="6" t="n">
        <v>4</v>
      </c>
      <c r="W578" s="6" t="n">
        <v>10</v>
      </c>
      <c r="X578" s="6" t="n">
        <v>0</v>
      </c>
      <c r="Y578" s="8" t="n">
        <v>18.24</v>
      </c>
      <c r="Z578" s="9" t="inlineStr">
        <is>
          <t>Success</t>
        </is>
      </c>
      <c r="AA578" s="2" t="inlineStr">
        <is>
          <t>2026-10-09 11:26:47</t>
        </is>
      </c>
    </row>
    <row r="579" ht="21.95" customHeight="1">
      <c r="A579" s="2" t="n">
        <v>578</v>
      </c>
      <c r="B579" s="31" t="inlineStr">
        <is>
          <t>http://www.siamnow.net</t>
        </is>
      </c>
      <c r="C579" s="2" t="inlineStr">
        <is>
          <t>อินเทอร์เน็ต</t>
        </is>
      </c>
      <c r="D579" s="25">
        <f>F579/71</f>
        <v/>
      </c>
      <c r="E579" s="26">
        <f>IF(D579&gt;=0.9,"ดีเยี่ยม",IF(D579&gt;=0.7,"ดี",IF(D579&gt;=0.5,"พอใช้","ต้องปรับปรุง")))</f>
        <v/>
      </c>
      <c r="F579" s="6">
        <f>J579+N579+R579+V579</f>
        <v/>
      </c>
      <c r="G579" s="6">
        <f>K579+O579+S579+W579</f>
        <v/>
      </c>
      <c r="H579" s="6">
        <f>L579+P579+T579+X579</f>
        <v/>
      </c>
      <c r="I579" s="7">
        <f>J579/37</f>
        <v/>
      </c>
      <c r="J579" s="6" t="n">
        <v>0</v>
      </c>
      <c r="K579" s="6" t="n">
        <v>37</v>
      </c>
      <c r="L579" s="6" t="n">
        <v>0</v>
      </c>
      <c r="M579" s="7">
        <f>N579/9</f>
        <v/>
      </c>
      <c r="N579" s="6" t="n">
        <v>0</v>
      </c>
      <c r="O579" s="6" t="n">
        <v>9</v>
      </c>
      <c r="P579" s="6" t="n">
        <v>0</v>
      </c>
      <c r="Q579" s="7">
        <f>R579/11</f>
        <v/>
      </c>
      <c r="R579" s="6" t="n">
        <v>0</v>
      </c>
      <c r="S579" s="6" t="n">
        <v>11</v>
      </c>
      <c r="T579" s="6" t="n">
        <v>0</v>
      </c>
      <c r="U579" s="7">
        <f>V579/14</f>
        <v/>
      </c>
      <c r="V579" s="6" t="n">
        <v>0</v>
      </c>
      <c r="W579" s="6" t="n">
        <v>14</v>
      </c>
      <c r="X579" s="6" t="n">
        <v>0</v>
      </c>
      <c r="Y579" s="8" t="n">
        <v>0.04</v>
      </c>
      <c r="Z579" s="27" t="inlineStr">
        <is>
          <t>Failed (DNS Error (หาเว็บไม่เจอ))</t>
        </is>
      </c>
      <c r="AA579" s="2" t="inlineStr">
        <is>
          <t>2026-10-21 00:13:37</t>
        </is>
      </c>
    </row>
    <row r="580" ht="21.95" customHeight="1">
      <c r="A580" s="2" t="n">
        <v>579</v>
      </c>
      <c r="B580" s="31" t="inlineStr">
        <is>
          <t>http://www.isuzuclub.com</t>
        </is>
      </c>
      <c r="C580" s="2" t="inlineStr">
        <is>
          <t>ยานยนต์</t>
        </is>
      </c>
      <c r="D580" s="10">
        <f>F580/71</f>
        <v/>
      </c>
      <c r="E580" s="11">
        <f>IF(D580&gt;=0.9,"ดีเยี่ยม",IF(D580&gt;=0.7,"ดี",IF(D580&gt;=0.5,"พอใช้","ต้องปรับปรุง")))</f>
        <v/>
      </c>
      <c r="F580" s="6">
        <f>J580+N580+R580+V580</f>
        <v/>
      </c>
      <c r="G580" s="6">
        <f>K580+O580+S580+W580</f>
        <v/>
      </c>
      <c r="H580" s="6">
        <f>L580+P580+T580+X580</f>
        <v/>
      </c>
      <c r="I580" s="7">
        <f>J580/37</f>
        <v/>
      </c>
      <c r="J580" s="6" t="n">
        <v>36</v>
      </c>
      <c r="K580" s="6" t="n">
        <v>0</v>
      </c>
      <c r="L580" s="6" t="n">
        <v>1</v>
      </c>
      <c r="M580" s="7">
        <f>N580/9</f>
        <v/>
      </c>
      <c r="N580" s="6" t="n">
        <v>7</v>
      </c>
      <c r="O580" s="6" t="n">
        <v>2</v>
      </c>
      <c r="P580" s="6" t="n">
        <v>0</v>
      </c>
      <c r="Q580" s="7">
        <f>R580/11</f>
        <v/>
      </c>
      <c r="R580" s="6" t="n">
        <v>4</v>
      </c>
      <c r="S580" s="6" t="n">
        <v>3</v>
      </c>
      <c r="T580" s="6" t="n">
        <v>4</v>
      </c>
      <c r="U580" s="7">
        <f>V580/14</f>
        <v/>
      </c>
      <c r="V580" s="6" t="n">
        <v>2</v>
      </c>
      <c r="W580" s="6" t="n">
        <v>11</v>
      </c>
      <c r="X580" s="6" t="n">
        <v>1</v>
      </c>
      <c r="Y580" s="8" t="n">
        <v>26.29</v>
      </c>
      <c r="Z580" s="9" t="inlineStr">
        <is>
          <t>Success</t>
        </is>
      </c>
      <c r="AA580" s="2" t="inlineStr">
        <is>
          <t>2026-10-09 11:27:49</t>
        </is>
      </c>
    </row>
    <row r="581" ht="21.95" customHeight="1">
      <c r="A581" s="2" t="n">
        <v>580</v>
      </c>
      <c r="B581" s="31" t="inlineStr">
        <is>
          <t>http://www.kitchenclass.com</t>
        </is>
      </c>
      <c r="C581" s="2" t="inlineStr">
        <is>
          <t>ธุรกิจ</t>
        </is>
      </c>
      <c r="D581" s="10">
        <f>F581/71</f>
        <v/>
      </c>
      <c r="E581" s="11">
        <f>IF(D581&gt;=0.9,"ดีเยี่ยม",IF(D581&gt;=0.7,"ดี",IF(D581&gt;=0.5,"พอใช้","ต้องปรับปรุง")))</f>
        <v/>
      </c>
      <c r="F581" s="6">
        <f>J581+N581+R581+V581</f>
        <v/>
      </c>
      <c r="G581" s="6">
        <f>K581+O581+S581+W581</f>
        <v/>
      </c>
      <c r="H581" s="6">
        <f>L581+P581+T581+X581</f>
        <v/>
      </c>
      <c r="I581" s="7">
        <f>J581/37</f>
        <v/>
      </c>
      <c r="J581" s="6" t="n">
        <v>35</v>
      </c>
      <c r="K581" s="6" t="n">
        <v>1</v>
      </c>
      <c r="L581" s="6" t="n">
        <v>1</v>
      </c>
      <c r="M581" s="7">
        <f>N581/9</f>
        <v/>
      </c>
      <c r="N581" s="6" t="n">
        <v>6</v>
      </c>
      <c r="O581" s="6" t="n">
        <v>3</v>
      </c>
      <c r="P581" s="6" t="n">
        <v>0</v>
      </c>
      <c r="Q581" s="7">
        <f>R581/11</f>
        <v/>
      </c>
      <c r="R581" s="6" t="n">
        <v>3</v>
      </c>
      <c r="S581" s="6" t="n">
        <v>4</v>
      </c>
      <c r="T581" s="6" t="n">
        <v>4</v>
      </c>
      <c r="U581" s="7">
        <f>V581/14</f>
        <v/>
      </c>
      <c r="V581" s="6" t="n">
        <v>2</v>
      </c>
      <c r="W581" s="6" t="n">
        <v>12</v>
      </c>
      <c r="X581" s="6" t="n">
        <v>0</v>
      </c>
      <c r="Y581" s="8" t="n">
        <v>44.55</v>
      </c>
      <c r="Z581" s="9" t="inlineStr">
        <is>
          <t>Success</t>
        </is>
      </c>
      <c r="AA581" s="2" t="inlineStr">
        <is>
          <t>2026-10-09 11:28:34</t>
        </is>
      </c>
    </row>
    <row r="582" ht="21.95" customHeight="1">
      <c r="A582" s="2" t="n">
        <v>581</v>
      </c>
      <c r="B582" s="31" t="inlineStr">
        <is>
          <t>http://www.efinancethai.net</t>
        </is>
      </c>
      <c r="C582" s="2" t="inlineStr">
        <is>
          <t>ธนาคาร-การเงิน</t>
        </is>
      </c>
      <c r="D582" s="25">
        <f>F582/71</f>
        <v/>
      </c>
      <c r="E582" s="26">
        <f>IF(D582&gt;=0.9,"ดีเยี่ยม",IF(D582&gt;=0.7,"ดี",IF(D582&gt;=0.5,"พอใช้","ต้องปรับปรุง")))</f>
        <v/>
      </c>
      <c r="F582" s="6">
        <f>J582+N582+R582+V582</f>
        <v/>
      </c>
      <c r="G582" s="6">
        <f>K582+O582+S582+W582</f>
        <v/>
      </c>
      <c r="H582" s="6">
        <f>L582+P582+T582+X582</f>
        <v/>
      </c>
      <c r="I582" s="7">
        <f>J582/37</f>
        <v/>
      </c>
      <c r="J582" s="6" t="n">
        <v>0</v>
      </c>
      <c r="K582" s="6" t="n">
        <v>37</v>
      </c>
      <c r="L582" s="6" t="n">
        <v>0</v>
      </c>
      <c r="M582" s="7">
        <f>N582/9</f>
        <v/>
      </c>
      <c r="N582" s="6" t="n">
        <v>0</v>
      </c>
      <c r="O582" s="6" t="n">
        <v>9</v>
      </c>
      <c r="P582" s="6" t="n">
        <v>0</v>
      </c>
      <c r="Q582" s="7">
        <f>R582/11</f>
        <v/>
      </c>
      <c r="R582" s="6" t="n">
        <v>0</v>
      </c>
      <c r="S582" s="6" t="n">
        <v>11</v>
      </c>
      <c r="T582" s="6" t="n">
        <v>0</v>
      </c>
      <c r="U582" s="7">
        <f>V582/14</f>
        <v/>
      </c>
      <c r="V582" s="6" t="n">
        <v>0</v>
      </c>
      <c r="W582" s="6" t="n">
        <v>14</v>
      </c>
      <c r="X582" s="6" t="n">
        <v>0</v>
      </c>
      <c r="Y582" s="8" t="n">
        <v>0.03</v>
      </c>
      <c r="Z582" s="27" t="inlineStr">
        <is>
          <t>Failed (DNS Error (หาเว็บไม่เจอ))</t>
        </is>
      </c>
      <c r="AA582" s="2" t="inlineStr">
        <is>
          <t>2026-10-21 00:13:37</t>
        </is>
      </c>
    </row>
    <row r="583" ht="21.95" customHeight="1">
      <c r="A583" s="2" t="n">
        <v>582</v>
      </c>
      <c r="B583" s="31" t="inlineStr">
        <is>
          <t>http://www.tripandtrek.com</t>
        </is>
      </c>
      <c r="C583" s="2" t="inlineStr">
        <is>
          <t>ท่องเที่ยว</t>
        </is>
      </c>
      <c r="D583" s="25">
        <f>F583/71</f>
        <v/>
      </c>
      <c r="E583" s="26">
        <f>IF(D583&gt;=0.9,"ดีเยี่ยม",IF(D583&gt;=0.7,"ดี",IF(D583&gt;=0.5,"พอใช้","ต้องปรับปรุง")))</f>
        <v/>
      </c>
      <c r="F583" s="6">
        <f>J583+N583+R583+V583</f>
        <v/>
      </c>
      <c r="G583" s="6">
        <f>K583+O583+S583+W583</f>
        <v/>
      </c>
      <c r="H583" s="6">
        <f>L583+P583+T583+X583</f>
        <v/>
      </c>
      <c r="I583" s="7">
        <f>J583/37</f>
        <v/>
      </c>
      <c r="J583" s="6" t="n">
        <v>0</v>
      </c>
      <c r="K583" s="6" t="n">
        <v>37</v>
      </c>
      <c r="L583" s="6" t="n">
        <v>0</v>
      </c>
      <c r="M583" s="7">
        <f>N583/9</f>
        <v/>
      </c>
      <c r="N583" s="6" t="n">
        <v>0</v>
      </c>
      <c r="O583" s="6" t="n">
        <v>9</v>
      </c>
      <c r="P583" s="6" t="n">
        <v>0</v>
      </c>
      <c r="Q583" s="7">
        <f>R583/11</f>
        <v/>
      </c>
      <c r="R583" s="6" t="n">
        <v>0</v>
      </c>
      <c r="S583" s="6" t="n">
        <v>11</v>
      </c>
      <c r="T583" s="6" t="n">
        <v>0</v>
      </c>
      <c r="U583" s="7">
        <f>V583/14</f>
        <v/>
      </c>
      <c r="V583" s="6" t="n">
        <v>0</v>
      </c>
      <c r="W583" s="6" t="n">
        <v>14</v>
      </c>
      <c r="X583" s="6" t="n">
        <v>0</v>
      </c>
      <c r="Y583" s="8" t="n">
        <v>0.92</v>
      </c>
      <c r="Z583" s="27" t="inlineStr">
        <is>
          <t>Failed (DNS Error (หาเว็บไม่เจอ))</t>
        </is>
      </c>
      <c r="AA583" s="2" t="inlineStr">
        <is>
          <t>2026-10-21 00:13:37</t>
        </is>
      </c>
    </row>
    <row r="584" ht="21.95" customHeight="1">
      <c r="A584" s="2" t="n">
        <v>583</v>
      </c>
      <c r="B584" s="31" t="inlineStr">
        <is>
          <t>http://www.talaadthai.com</t>
        </is>
      </c>
      <c r="C584" s="2" t="inlineStr">
        <is>
          <t>ธุรกิจ</t>
        </is>
      </c>
      <c r="D584" s="10">
        <f>F584/71</f>
        <v/>
      </c>
      <c r="E584" s="11">
        <f>IF(D584&gt;=0.9,"ดีเยี่ยม",IF(D584&gt;=0.7,"ดี",IF(D584&gt;=0.5,"พอใช้","ต้องปรับปรุง")))</f>
        <v/>
      </c>
      <c r="F584" s="6">
        <f>J584+N584+R584+V584</f>
        <v/>
      </c>
      <c r="G584" s="6">
        <f>K584+O584+S584+W584</f>
        <v/>
      </c>
      <c r="H584" s="6">
        <f>L584+P584+T584+X584</f>
        <v/>
      </c>
      <c r="I584" s="7">
        <f>J584/37</f>
        <v/>
      </c>
      <c r="J584" s="6" t="n">
        <v>32</v>
      </c>
      <c r="K584" s="6" t="n">
        <v>4</v>
      </c>
      <c r="L584" s="6" t="n">
        <v>1</v>
      </c>
      <c r="M584" s="7">
        <f>N584/9</f>
        <v/>
      </c>
      <c r="N584" s="6" t="n">
        <v>7</v>
      </c>
      <c r="O584" s="6" t="n">
        <v>2</v>
      </c>
      <c r="P584" s="6" t="n">
        <v>0</v>
      </c>
      <c r="Q584" s="7">
        <f>R584/11</f>
        <v/>
      </c>
      <c r="R584" s="6" t="n">
        <v>7</v>
      </c>
      <c r="S584" s="6" t="n">
        <v>3</v>
      </c>
      <c r="T584" s="6" t="n">
        <v>1</v>
      </c>
      <c r="U584" s="7">
        <f>V584/14</f>
        <v/>
      </c>
      <c r="V584" s="6" t="n">
        <v>2</v>
      </c>
      <c r="W584" s="6" t="n">
        <v>11</v>
      </c>
      <c r="X584" s="6" t="n">
        <v>1</v>
      </c>
      <c r="Y584" s="8" t="n">
        <v>30.89</v>
      </c>
      <c r="Z584" s="9" t="inlineStr">
        <is>
          <t>Success</t>
        </is>
      </c>
      <c r="AA584" s="2" t="inlineStr">
        <is>
          <t>2026-10-09 11:30:16</t>
        </is>
      </c>
    </row>
    <row r="585" ht="21.95" customHeight="1">
      <c r="A585" s="2" t="n">
        <v>584</v>
      </c>
      <c r="B585" s="31" t="inlineStr">
        <is>
          <t>http://www.ubicuo.biz</t>
        </is>
      </c>
      <c r="C585" s="2" t="inlineStr">
        <is>
          <t>อินเทอร์เน็ต</t>
        </is>
      </c>
      <c r="D585" s="25">
        <f>F585/71</f>
        <v/>
      </c>
      <c r="E585" s="26">
        <f>IF(D585&gt;=0.9,"ดีเยี่ยม",IF(D585&gt;=0.7,"ดี",IF(D585&gt;=0.5,"พอใช้","ต้องปรับปรุง")))</f>
        <v/>
      </c>
      <c r="F585" s="6">
        <f>J585+N585+R585+V585</f>
        <v/>
      </c>
      <c r="G585" s="6">
        <f>K585+O585+S585+W585</f>
        <v/>
      </c>
      <c r="H585" s="6">
        <f>L585+P585+T585+X585</f>
        <v/>
      </c>
      <c r="I585" s="7">
        <f>J585/37</f>
        <v/>
      </c>
      <c r="J585" s="6" t="n">
        <v>0</v>
      </c>
      <c r="K585" s="6" t="n">
        <v>37</v>
      </c>
      <c r="L585" s="6" t="n">
        <v>0</v>
      </c>
      <c r="M585" s="7">
        <f>N585/9</f>
        <v/>
      </c>
      <c r="N585" s="6" t="n">
        <v>0</v>
      </c>
      <c r="O585" s="6" t="n">
        <v>9</v>
      </c>
      <c r="P585" s="6" t="n">
        <v>0</v>
      </c>
      <c r="Q585" s="7">
        <f>R585/11</f>
        <v/>
      </c>
      <c r="R585" s="6" t="n">
        <v>0</v>
      </c>
      <c r="S585" s="6" t="n">
        <v>11</v>
      </c>
      <c r="T585" s="6" t="n">
        <v>0</v>
      </c>
      <c r="U585" s="7">
        <f>V585/14</f>
        <v/>
      </c>
      <c r="V585" s="6" t="n">
        <v>0</v>
      </c>
      <c r="W585" s="6" t="n">
        <v>14</v>
      </c>
      <c r="X585" s="6" t="n">
        <v>0</v>
      </c>
      <c r="Y585" s="8" t="n">
        <v>0.4</v>
      </c>
      <c r="Z585" s="27" t="inlineStr">
        <is>
          <t>Failed (DNS Error (หาเว็บไม่เจอ))</t>
        </is>
      </c>
      <c r="AA585" s="2" t="inlineStr">
        <is>
          <t>2026-10-21 00:13:37</t>
        </is>
      </c>
    </row>
    <row r="586" ht="21.95" customHeight="1">
      <c r="A586" s="2" t="n">
        <v>585</v>
      </c>
      <c r="B586" s="31" t="inlineStr">
        <is>
          <t>http://www.chirathivat.info</t>
        </is>
      </c>
      <c r="C586" s="2" t="inlineStr">
        <is>
          <t>บุคคล-สังคม</t>
        </is>
      </c>
      <c r="D586" s="25">
        <f>F586/71</f>
        <v/>
      </c>
      <c r="E586" s="26">
        <f>IF(D586&gt;=0.9,"ดีเยี่ยม",IF(D586&gt;=0.7,"ดี",IF(D586&gt;=0.5,"พอใช้","ต้องปรับปรุง")))</f>
        <v/>
      </c>
      <c r="F586" s="6">
        <f>J586+N586+R586+V586</f>
        <v/>
      </c>
      <c r="G586" s="6">
        <f>K586+O586+S586+W586</f>
        <v/>
      </c>
      <c r="H586" s="6">
        <f>L586+P586+T586+X586</f>
        <v/>
      </c>
      <c r="I586" s="7">
        <f>J586/37</f>
        <v/>
      </c>
      <c r="J586" s="6" t="n">
        <v>0</v>
      </c>
      <c r="K586" s="6" t="n">
        <v>37</v>
      </c>
      <c r="L586" s="6" t="n">
        <v>0</v>
      </c>
      <c r="M586" s="7">
        <f>N586/9</f>
        <v/>
      </c>
      <c r="N586" s="6" t="n">
        <v>0</v>
      </c>
      <c r="O586" s="6" t="n">
        <v>9</v>
      </c>
      <c r="P586" s="6" t="n">
        <v>0</v>
      </c>
      <c r="Q586" s="7">
        <f>R586/11</f>
        <v/>
      </c>
      <c r="R586" s="6" t="n">
        <v>0</v>
      </c>
      <c r="S586" s="6" t="n">
        <v>11</v>
      </c>
      <c r="T586" s="6" t="n">
        <v>0</v>
      </c>
      <c r="U586" s="7">
        <f>V586/14</f>
        <v/>
      </c>
      <c r="V586" s="6" t="n">
        <v>0</v>
      </c>
      <c r="W586" s="6" t="n">
        <v>14</v>
      </c>
      <c r="X586" s="6" t="n">
        <v>0</v>
      </c>
      <c r="Y586" s="8" t="n">
        <v>0.15</v>
      </c>
      <c r="Z586" s="27" t="inlineStr">
        <is>
          <t>Failed (DNS Error (หาเว็บไม่เจอ))</t>
        </is>
      </c>
      <c r="AA586" s="2" t="inlineStr">
        <is>
          <t>2026-10-21 00:13:37</t>
        </is>
      </c>
    </row>
    <row r="587" ht="21.95" customHeight="1">
      <c r="A587" s="2" t="n">
        <v>586</v>
      </c>
      <c r="B587" s="31" t="inlineStr">
        <is>
          <t>http://www.tupclub.com</t>
        </is>
      </c>
      <c r="C587" s="2" t="inlineStr">
        <is>
          <t>การศึกษา</t>
        </is>
      </c>
      <c r="D587" s="25">
        <f>F587/71</f>
        <v/>
      </c>
      <c r="E587" s="26">
        <f>IF(D587&gt;=0.9,"ดีเยี่ยม",IF(D587&gt;=0.7,"ดี",IF(D587&gt;=0.5,"พอใช้","ต้องปรับปรุง")))</f>
        <v/>
      </c>
      <c r="F587" s="6">
        <f>J587+N587+R587+V587</f>
        <v/>
      </c>
      <c r="G587" s="6">
        <f>K587+O587+S587+W587</f>
        <v/>
      </c>
      <c r="H587" s="6">
        <f>L587+P587+T587+X587</f>
        <v/>
      </c>
      <c r="I587" s="7">
        <f>J587/37</f>
        <v/>
      </c>
      <c r="J587" s="6" t="n">
        <v>0</v>
      </c>
      <c r="K587" s="6" t="n">
        <v>37</v>
      </c>
      <c r="L587" s="6" t="n">
        <v>0</v>
      </c>
      <c r="M587" s="7">
        <f>N587/9</f>
        <v/>
      </c>
      <c r="N587" s="6" t="n">
        <v>0</v>
      </c>
      <c r="O587" s="6" t="n">
        <v>9</v>
      </c>
      <c r="P587" s="6" t="n">
        <v>0</v>
      </c>
      <c r="Q587" s="7">
        <f>R587/11</f>
        <v/>
      </c>
      <c r="R587" s="6" t="n">
        <v>0</v>
      </c>
      <c r="S587" s="6" t="n">
        <v>11</v>
      </c>
      <c r="T587" s="6" t="n">
        <v>0</v>
      </c>
      <c r="U587" s="7">
        <f>V587/14</f>
        <v/>
      </c>
      <c r="V587" s="6" t="n">
        <v>0</v>
      </c>
      <c r="W587" s="6" t="n">
        <v>14</v>
      </c>
      <c r="X587" s="6" t="n">
        <v>0</v>
      </c>
      <c r="Y587" s="8" t="n">
        <v>1.51</v>
      </c>
      <c r="Z587" s="27" t="inlineStr">
        <is>
          <t>Failed (หน้าพักโดเมน / โดเมนหมดอายุ)</t>
        </is>
      </c>
      <c r="AA587" s="2" t="inlineStr">
        <is>
          <t>2026-10-21 00:13:37</t>
        </is>
      </c>
    </row>
    <row r="588" ht="21.95" customHeight="1">
      <c r="A588" s="2" t="n">
        <v>587</v>
      </c>
      <c r="B588" s="31" t="inlineStr">
        <is>
          <t>http://www.bcc138.com</t>
        </is>
      </c>
      <c r="C588" s="2" t="inlineStr">
        <is>
          <t>บุคคล-สังคม</t>
        </is>
      </c>
      <c r="D588" s="25">
        <f>F588/71</f>
        <v/>
      </c>
      <c r="E588" s="26">
        <f>IF(D588&gt;=0.9,"ดีเยี่ยม",IF(D588&gt;=0.7,"ดี",IF(D588&gt;=0.5,"พอใช้","ต้องปรับปรุง")))</f>
        <v/>
      </c>
      <c r="F588" s="6">
        <f>J588+N588+R588+V588</f>
        <v/>
      </c>
      <c r="G588" s="6">
        <f>K588+O588+S588+W588</f>
        <v/>
      </c>
      <c r="H588" s="6">
        <f>L588+P588+T588+X588</f>
        <v/>
      </c>
      <c r="I588" s="7">
        <f>J588/37</f>
        <v/>
      </c>
      <c r="J588" s="6" t="n">
        <v>0</v>
      </c>
      <c r="K588" s="6" t="n">
        <v>37</v>
      </c>
      <c r="L588" s="6" t="n">
        <v>0</v>
      </c>
      <c r="M588" s="7">
        <f>N588/9</f>
        <v/>
      </c>
      <c r="N588" s="6" t="n">
        <v>0</v>
      </c>
      <c r="O588" s="6" t="n">
        <v>9</v>
      </c>
      <c r="P588" s="6" t="n">
        <v>0</v>
      </c>
      <c r="Q588" s="7">
        <f>R588/11</f>
        <v/>
      </c>
      <c r="R588" s="6" t="n">
        <v>0</v>
      </c>
      <c r="S588" s="6" t="n">
        <v>11</v>
      </c>
      <c r="T588" s="6" t="n">
        <v>0</v>
      </c>
      <c r="U588" s="7">
        <f>V588/14</f>
        <v/>
      </c>
      <c r="V588" s="6" t="n">
        <v>0</v>
      </c>
      <c r="W588" s="6" t="n">
        <v>14</v>
      </c>
      <c r="X588" s="6" t="n">
        <v>0</v>
      </c>
      <c r="Y588" s="8" t="n">
        <v>0.03</v>
      </c>
      <c r="Z588" s="27" t="inlineStr">
        <is>
          <t>Failed (DNS Error (หาเว็บไม่เจอ))</t>
        </is>
      </c>
      <c r="AA588" s="2" t="inlineStr">
        <is>
          <t>2026-10-21 00:13:37</t>
        </is>
      </c>
    </row>
    <row r="589" ht="21.95" customHeight="1">
      <c r="A589" s="2" t="n">
        <v>588</v>
      </c>
      <c r="B589" s="31" t="inlineStr">
        <is>
          <t>http://www.cmeasyweb.com</t>
        </is>
      </c>
      <c r="C589" s="2" t="inlineStr">
        <is>
          <t>อินเทอร์เน็ต</t>
        </is>
      </c>
      <c r="D589" s="25">
        <f>F589/71</f>
        <v/>
      </c>
      <c r="E589" s="26">
        <f>IF(D589&gt;=0.9,"ดีเยี่ยม",IF(D589&gt;=0.7,"ดี",IF(D589&gt;=0.5,"พอใช้","ต้องปรับปรุง")))</f>
        <v/>
      </c>
      <c r="F589" s="6">
        <f>J589+N589+R589+V589</f>
        <v/>
      </c>
      <c r="G589" s="6">
        <f>K589+O589+S589+W589</f>
        <v/>
      </c>
      <c r="H589" s="6">
        <f>L589+P589+T589+X589</f>
        <v/>
      </c>
      <c r="I589" s="7">
        <f>J589/37</f>
        <v/>
      </c>
      <c r="J589" s="6" t="n">
        <v>0</v>
      </c>
      <c r="K589" s="6" t="n">
        <v>37</v>
      </c>
      <c r="L589" s="6" t="n">
        <v>0</v>
      </c>
      <c r="M589" s="7">
        <f>N589/9</f>
        <v/>
      </c>
      <c r="N589" s="6" t="n">
        <v>0</v>
      </c>
      <c r="O589" s="6" t="n">
        <v>9</v>
      </c>
      <c r="P589" s="6" t="n">
        <v>0</v>
      </c>
      <c r="Q589" s="7">
        <f>R589/11</f>
        <v/>
      </c>
      <c r="R589" s="6" t="n">
        <v>0</v>
      </c>
      <c r="S589" s="6" t="n">
        <v>11</v>
      </c>
      <c r="T589" s="6" t="n">
        <v>0</v>
      </c>
      <c r="U589" s="7">
        <f>V589/14</f>
        <v/>
      </c>
      <c r="V589" s="6" t="n">
        <v>0</v>
      </c>
      <c r="W589" s="6" t="n">
        <v>14</v>
      </c>
      <c r="X589" s="6" t="n">
        <v>0</v>
      </c>
      <c r="Y589" s="8" t="n">
        <v>0.06</v>
      </c>
      <c r="Z589" s="27" t="inlineStr">
        <is>
          <t>Failed (DNS Error (หาเว็บไม่เจอ))</t>
        </is>
      </c>
      <c r="AA589" s="2" t="inlineStr">
        <is>
          <t>2026-10-21 00:13:37</t>
        </is>
      </c>
    </row>
    <row r="590" ht="21.95" customHeight="1">
      <c r="A590" s="2" t="n">
        <v>589</v>
      </c>
      <c r="B590" s="31" t="inlineStr">
        <is>
          <t>http://www.digital2home.com</t>
        </is>
      </c>
      <c r="C590" s="2" t="inlineStr">
        <is>
          <t>ช๊อปปิ้ง</t>
        </is>
      </c>
      <c r="D590" s="10">
        <f>F590/71</f>
        <v/>
      </c>
      <c r="E590" s="11">
        <f>IF(D590&gt;=0.9,"ดีเยี่ยม",IF(D590&gt;=0.7,"ดี",IF(D590&gt;=0.5,"พอใช้","ต้องปรับปรุง")))</f>
        <v/>
      </c>
      <c r="F590" s="6">
        <f>J590+N590+R590+V590</f>
        <v/>
      </c>
      <c r="G590" s="6">
        <f>K590+O590+S590+W590</f>
        <v/>
      </c>
      <c r="H590" s="6">
        <f>L590+P590+T590+X590</f>
        <v/>
      </c>
      <c r="I590" s="7">
        <f>J590/37</f>
        <v/>
      </c>
      <c r="J590" s="6" t="n">
        <v>32</v>
      </c>
      <c r="K590" s="6" t="n">
        <v>3</v>
      </c>
      <c r="L590" s="6" t="n">
        <v>2</v>
      </c>
      <c r="M590" s="7">
        <f>N590/9</f>
        <v/>
      </c>
      <c r="N590" s="6" t="n">
        <v>8</v>
      </c>
      <c r="O590" s="6" t="n">
        <v>1</v>
      </c>
      <c r="P590" s="6" t="n">
        <v>0</v>
      </c>
      <c r="Q590" s="7">
        <f>R590/11</f>
        <v/>
      </c>
      <c r="R590" s="6" t="n">
        <v>5</v>
      </c>
      <c r="S590" s="6" t="n">
        <v>2</v>
      </c>
      <c r="T590" s="6" t="n">
        <v>4</v>
      </c>
      <c r="U590" s="7">
        <f>V590/14</f>
        <v/>
      </c>
      <c r="V590" s="6" t="n">
        <v>4</v>
      </c>
      <c r="W590" s="6" t="n">
        <v>8</v>
      </c>
      <c r="X590" s="6" t="n">
        <v>2</v>
      </c>
      <c r="Y590" s="8" t="n">
        <v>31.8</v>
      </c>
      <c r="Z590" s="9" t="inlineStr">
        <is>
          <t>Success</t>
        </is>
      </c>
      <c r="AA590" s="2" t="inlineStr">
        <is>
          <t>2026-10-09 11:33:29</t>
        </is>
      </c>
    </row>
    <row r="591" ht="21.95" customHeight="1">
      <c r="A591" s="2" t="n">
        <v>590</v>
      </c>
      <c r="B591" s="31" t="inlineStr">
        <is>
          <t>http://www.cwfthai.com</t>
        </is>
      </c>
      <c r="C591" s="2" t="inlineStr">
        <is>
          <t>กีฬา</t>
        </is>
      </c>
      <c r="D591" s="25">
        <f>F591/71</f>
        <v/>
      </c>
      <c r="E591" s="26">
        <f>IF(D591&gt;=0.9,"ดีเยี่ยม",IF(D591&gt;=0.7,"ดี",IF(D591&gt;=0.5,"พอใช้","ต้องปรับปรุง")))</f>
        <v/>
      </c>
      <c r="F591" s="6">
        <f>J591+N591+R591+V591</f>
        <v/>
      </c>
      <c r="G591" s="6">
        <f>K591+O591+S591+W591</f>
        <v/>
      </c>
      <c r="H591" s="6">
        <f>L591+P591+T591+X591</f>
        <v/>
      </c>
      <c r="I591" s="7">
        <f>J591/37</f>
        <v/>
      </c>
      <c r="J591" s="6" t="n">
        <v>0</v>
      </c>
      <c r="K591" s="6" t="n">
        <v>37</v>
      </c>
      <c r="L591" s="6" t="n">
        <v>0</v>
      </c>
      <c r="M591" s="7">
        <f>N591/9</f>
        <v/>
      </c>
      <c r="N591" s="6" t="n">
        <v>0</v>
      </c>
      <c r="O591" s="6" t="n">
        <v>9</v>
      </c>
      <c r="P591" s="6" t="n">
        <v>0</v>
      </c>
      <c r="Q591" s="7">
        <f>R591/11</f>
        <v/>
      </c>
      <c r="R591" s="6" t="n">
        <v>0</v>
      </c>
      <c r="S591" s="6" t="n">
        <v>11</v>
      </c>
      <c r="T591" s="6" t="n">
        <v>0</v>
      </c>
      <c r="U591" s="7">
        <f>V591/14</f>
        <v/>
      </c>
      <c r="V591" s="6" t="n">
        <v>0</v>
      </c>
      <c r="W591" s="6" t="n">
        <v>14</v>
      </c>
      <c r="X591" s="6" t="n">
        <v>0</v>
      </c>
      <c r="Y591" s="8" t="n">
        <v>0.04</v>
      </c>
      <c r="Z591" s="27" t="inlineStr">
        <is>
          <t>Failed (DNS Error (หาเว็บไม่เจอ))</t>
        </is>
      </c>
      <c r="AA591" s="2" t="inlineStr">
        <is>
          <t>2026-10-21 00:13:37</t>
        </is>
      </c>
    </row>
    <row r="592" ht="21.95" customHeight="1">
      <c r="A592" s="2" t="n">
        <v>591</v>
      </c>
      <c r="B592" s="31" t="inlineStr">
        <is>
          <t>http://www.index-thai.com</t>
        </is>
      </c>
      <c r="C592" s="2" t="inlineStr">
        <is>
          <t>ธุรกิจ</t>
        </is>
      </c>
      <c r="D592" s="25">
        <f>F592/71</f>
        <v/>
      </c>
      <c r="E592" s="26">
        <f>IF(D592&gt;=0.9,"ดีเยี่ยม",IF(D592&gt;=0.7,"ดี",IF(D592&gt;=0.5,"พอใช้","ต้องปรับปรุง")))</f>
        <v/>
      </c>
      <c r="F592" s="6">
        <f>J592+N592+R592+V592</f>
        <v/>
      </c>
      <c r="G592" s="6">
        <f>K592+O592+S592+W592</f>
        <v/>
      </c>
      <c r="H592" s="6">
        <f>L592+P592+T592+X592</f>
        <v/>
      </c>
      <c r="I592" s="7">
        <f>J592/37</f>
        <v/>
      </c>
      <c r="J592" s="6" t="n">
        <v>0</v>
      </c>
      <c r="K592" s="6" t="n">
        <v>37</v>
      </c>
      <c r="L592" s="6" t="n">
        <v>0</v>
      </c>
      <c r="M592" s="7">
        <f>N592/9</f>
        <v/>
      </c>
      <c r="N592" s="6" t="n">
        <v>0</v>
      </c>
      <c r="O592" s="6" t="n">
        <v>9</v>
      </c>
      <c r="P592" s="6" t="n">
        <v>0</v>
      </c>
      <c r="Q592" s="7">
        <f>R592/11</f>
        <v/>
      </c>
      <c r="R592" s="6" t="n">
        <v>0</v>
      </c>
      <c r="S592" s="6" t="n">
        <v>11</v>
      </c>
      <c r="T592" s="6" t="n">
        <v>0</v>
      </c>
      <c r="U592" s="7">
        <f>V592/14</f>
        <v/>
      </c>
      <c r="V592" s="6" t="n">
        <v>0</v>
      </c>
      <c r="W592" s="6" t="n">
        <v>14</v>
      </c>
      <c r="X592" s="6" t="n">
        <v>0</v>
      </c>
      <c r="Y592" s="8" t="n">
        <v>0.03</v>
      </c>
      <c r="Z592" s="27" t="inlineStr">
        <is>
          <t>Failed (DNS Error (หาเว็บไม่เจอ))</t>
        </is>
      </c>
      <c r="AA592" s="2" t="inlineStr">
        <is>
          <t>2026-10-21 00:13:37</t>
        </is>
      </c>
    </row>
    <row r="593" ht="21.95" customHeight="1">
      <c r="A593" s="2" t="n">
        <v>592</v>
      </c>
      <c r="B593" s="31" t="inlineStr">
        <is>
          <t>http://www.bobaetower.com</t>
        </is>
      </c>
      <c r="C593" s="2" t="inlineStr">
        <is>
          <t>ช๊อปปิ้ง</t>
        </is>
      </c>
      <c r="D593" s="25">
        <f>F593/71</f>
        <v/>
      </c>
      <c r="E593" s="26">
        <f>IF(D593&gt;=0.9,"ดีเยี่ยม",IF(D593&gt;=0.7,"ดี",IF(D593&gt;=0.5,"พอใช้","ต้องปรับปรุง")))</f>
        <v/>
      </c>
      <c r="F593" s="6">
        <f>J593+N593+R593+V593</f>
        <v/>
      </c>
      <c r="G593" s="6">
        <f>K593+O593+S593+W593</f>
        <v/>
      </c>
      <c r="H593" s="6">
        <f>L593+P593+T593+X593</f>
        <v/>
      </c>
      <c r="I593" s="7">
        <f>J593/37</f>
        <v/>
      </c>
      <c r="J593" s="6" t="n">
        <v>0</v>
      </c>
      <c r="K593" s="6" t="n">
        <v>37</v>
      </c>
      <c r="L593" s="6" t="n">
        <v>0</v>
      </c>
      <c r="M593" s="7">
        <f>N593/9</f>
        <v/>
      </c>
      <c r="N593" s="6" t="n">
        <v>0</v>
      </c>
      <c r="O593" s="6" t="n">
        <v>9</v>
      </c>
      <c r="P593" s="6" t="n">
        <v>0</v>
      </c>
      <c r="Q593" s="7">
        <f>R593/11</f>
        <v/>
      </c>
      <c r="R593" s="6" t="n">
        <v>0</v>
      </c>
      <c r="S593" s="6" t="n">
        <v>11</v>
      </c>
      <c r="T593" s="6" t="n">
        <v>0</v>
      </c>
      <c r="U593" s="7">
        <f>V593/14</f>
        <v/>
      </c>
      <c r="V593" s="6" t="n">
        <v>0</v>
      </c>
      <c r="W593" s="6" t="n">
        <v>14</v>
      </c>
      <c r="X593" s="6" t="n">
        <v>0</v>
      </c>
      <c r="Y593" s="8" t="n">
        <v>0.7</v>
      </c>
      <c r="Z593" s="27" t="inlineStr">
        <is>
          <t>Failed (DNS Error (หาเว็บไม่เจอ))</t>
        </is>
      </c>
      <c r="AA593" s="2" t="inlineStr">
        <is>
          <t>2026-10-21 00:13:37</t>
        </is>
      </c>
    </row>
    <row r="594" ht="21.95" customHeight="1">
      <c r="A594" s="2" t="n">
        <v>593</v>
      </c>
      <c r="B594" s="31" t="inlineStr">
        <is>
          <t>http://www.ribboncenter.com</t>
        </is>
      </c>
      <c r="C594" s="2" t="inlineStr">
        <is>
          <t>ช๊อปปิ้ง</t>
        </is>
      </c>
      <c r="D594" s="4">
        <f>F594/71</f>
        <v/>
      </c>
      <c r="E594" s="5">
        <f>IF(D594&gt;=0.9,"ดีเยี่ยม",IF(D594&gt;=0.7,"ดี",IF(D594&gt;=0.5,"พอใช้","ต้องปรับปรุง")))</f>
        <v/>
      </c>
      <c r="F594" s="6">
        <f>J594+N594+R594+V594</f>
        <v/>
      </c>
      <c r="G594" s="6">
        <f>K594+O594+S594+W594</f>
        <v/>
      </c>
      <c r="H594" s="6">
        <f>L594+P594+T594+X594</f>
        <v/>
      </c>
      <c r="I594" s="7">
        <f>J594/37</f>
        <v/>
      </c>
      <c r="J594" s="6" t="n">
        <v>34</v>
      </c>
      <c r="K594" s="6" t="n">
        <v>3</v>
      </c>
      <c r="L594" s="6" t="n">
        <v>0</v>
      </c>
      <c r="M594" s="7">
        <f>N594/9</f>
        <v/>
      </c>
      <c r="N594" s="6" t="n">
        <v>7</v>
      </c>
      <c r="O594" s="6" t="n">
        <v>2</v>
      </c>
      <c r="P594" s="6" t="n">
        <v>0</v>
      </c>
      <c r="Q594" s="7">
        <f>R594/11</f>
        <v/>
      </c>
      <c r="R594" s="6" t="n">
        <v>5</v>
      </c>
      <c r="S594" s="6" t="n">
        <v>2</v>
      </c>
      <c r="T594" s="6" t="n">
        <v>4</v>
      </c>
      <c r="U594" s="7">
        <f>V594/14</f>
        <v/>
      </c>
      <c r="V594" s="6" t="n">
        <v>4</v>
      </c>
      <c r="W594" s="6" t="n">
        <v>9</v>
      </c>
      <c r="X594" s="6" t="n">
        <v>1</v>
      </c>
      <c r="Y594" s="8" t="n">
        <v>32.52</v>
      </c>
      <c r="Z594" s="9" t="inlineStr">
        <is>
          <t>Success</t>
        </is>
      </c>
      <c r="AA594" s="2" t="inlineStr">
        <is>
          <t>2026-10-09 11:35:49</t>
        </is>
      </c>
    </row>
    <row r="595" ht="21.95" customHeight="1">
      <c r="A595" s="2" t="n">
        <v>594</v>
      </c>
      <c r="B595" s="31" t="inlineStr">
        <is>
          <t>http://www.krabi-hotels-resort.com</t>
        </is>
      </c>
      <c r="C595" s="2" t="inlineStr">
        <is>
          <t>ท่องเที่ยว</t>
        </is>
      </c>
      <c r="D595" s="25">
        <f>F595/71</f>
        <v/>
      </c>
      <c r="E595" s="26">
        <f>IF(D595&gt;=0.9,"ดีเยี่ยม",IF(D595&gt;=0.7,"ดี",IF(D595&gt;=0.5,"พอใช้","ต้องปรับปรุง")))</f>
        <v/>
      </c>
      <c r="F595" s="6">
        <f>J595+N595+R595+V595</f>
        <v/>
      </c>
      <c r="G595" s="6">
        <f>K595+O595+S595+W595</f>
        <v/>
      </c>
      <c r="H595" s="6">
        <f>L595+P595+T595+X595</f>
        <v/>
      </c>
      <c r="I595" s="7">
        <f>J595/37</f>
        <v/>
      </c>
      <c r="J595" s="6" t="n">
        <v>0</v>
      </c>
      <c r="K595" s="6" t="n">
        <v>37</v>
      </c>
      <c r="L595" s="6" t="n">
        <v>0</v>
      </c>
      <c r="M595" s="7">
        <f>N595/9</f>
        <v/>
      </c>
      <c r="N595" s="6" t="n">
        <v>0</v>
      </c>
      <c r="O595" s="6" t="n">
        <v>9</v>
      </c>
      <c r="P595" s="6" t="n">
        <v>0</v>
      </c>
      <c r="Q595" s="7">
        <f>R595/11</f>
        <v/>
      </c>
      <c r="R595" s="6" t="n">
        <v>0</v>
      </c>
      <c r="S595" s="6" t="n">
        <v>11</v>
      </c>
      <c r="T595" s="6" t="n">
        <v>0</v>
      </c>
      <c r="U595" s="7">
        <f>V595/14</f>
        <v/>
      </c>
      <c r="V595" s="6" t="n">
        <v>0</v>
      </c>
      <c r="W595" s="6" t="n">
        <v>14</v>
      </c>
      <c r="X595" s="6" t="n">
        <v>0</v>
      </c>
      <c r="Y595" s="8" t="n">
        <v>0.05</v>
      </c>
      <c r="Z595" s="27" t="inlineStr">
        <is>
          <t>Failed (DNS Error (หาเว็บไม่เจอ))</t>
        </is>
      </c>
      <c r="AA595" s="2" t="inlineStr">
        <is>
          <t>2026-10-21 00:13:37</t>
        </is>
      </c>
    </row>
    <row r="596" ht="21.95" customHeight="1">
      <c r="A596" s="2" t="n">
        <v>595</v>
      </c>
      <c r="B596" s="31" t="inlineStr">
        <is>
          <t>http://www.piyapisan.com</t>
        </is>
      </c>
      <c r="C596" s="2" t="inlineStr">
        <is>
          <t>ธนาคาร-การเงิน</t>
        </is>
      </c>
      <c r="D596" s="25">
        <f>F596/71</f>
        <v/>
      </c>
      <c r="E596" s="26">
        <f>IF(D596&gt;=0.9,"ดีเยี่ยม",IF(D596&gt;=0.7,"ดี",IF(D596&gt;=0.5,"พอใช้","ต้องปรับปรุง")))</f>
        <v/>
      </c>
      <c r="F596" s="6">
        <f>J596+N596+R596+V596</f>
        <v/>
      </c>
      <c r="G596" s="6">
        <f>K596+O596+S596+W596</f>
        <v/>
      </c>
      <c r="H596" s="6">
        <f>L596+P596+T596+X596</f>
        <v/>
      </c>
      <c r="I596" s="7">
        <f>J596/37</f>
        <v/>
      </c>
      <c r="J596" s="6" t="n">
        <v>0</v>
      </c>
      <c r="K596" s="6" t="n">
        <v>37</v>
      </c>
      <c r="L596" s="6" t="n">
        <v>0</v>
      </c>
      <c r="M596" s="7">
        <f>N596/9</f>
        <v/>
      </c>
      <c r="N596" s="6" t="n">
        <v>0</v>
      </c>
      <c r="O596" s="6" t="n">
        <v>9</v>
      </c>
      <c r="P596" s="6" t="n">
        <v>0</v>
      </c>
      <c r="Q596" s="7">
        <f>R596/11</f>
        <v/>
      </c>
      <c r="R596" s="6" t="n">
        <v>0</v>
      </c>
      <c r="S596" s="6" t="n">
        <v>11</v>
      </c>
      <c r="T596" s="6" t="n">
        <v>0</v>
      </c>
      <c r="U596" s="7">
        <f>V596/14</f>
        <v/>
      </c>
      <c r="V596" s="6" t="n">
        <v>0</v>
      </c>
      <c r="W596" s="6" t="n">
        <v>14</v>
      </c>
      <c r="X596" s="6" t="n">
        <v>0</v>
      </c>
      <c r="Y596" s="8" t="n">
        <v>0.03</v>
      </c>
      <c r="Z596" s="27" t="inlineStr">
        <is>
          <t>Failed (DNS Error (หาเว็บไม่เจอ))</t>
        </is>
      </c>
      <c r="AA596" s="2" t="inlineStr">
        <is>
          <t>2026-10-21 00:13:37</t>
        </is>
      </c>
    </row>
    <row r="597" ht="21.95" customHeight="1">
      <c r="A597" s="2" t="n">
        <v>596</v>
      </c>
      <c r="B597" s="31" t="inlineStr">
        <is>
          <t>http://www.kim-snb.com</t>
        </is>
      </c>
      <c r="C597" s="2" t="inlineStr">
        <is>
          <t>ช๊อปปิ้ง</t>
        </is>
      </c>
      <c r="D597" s="25">
        <f>F597/71</f>
        <v/>
      </c>
      <c r="E597" s="26">
        <f>IF(D597&gt;=0.9,"ดีเยี่ยม",IF(D597&gt;=0.7,"ดี",IF(D597&gt;=0.5,"พอใช้","ต้องปรับปรุง")))</f>
        <v/>
      </c>
      <c r="F597" s="6">
        <f>J597+N597+R597+V597</f>
        <v/>
      </c>
      <c r="G597" s="6">
        <f>K597+O597+S597+W597</f>
        <v/>
      </c>
      <c r="H597" s="6">
        <f>L597+P597+T597+X597</f>
        <v/>
      </c>
      <c r="I597" s="7">
        <f>J597/37</f>
        <v/>
      </c>
      <c r="J597" s="6" t="n">
        <v>0</v>
      </c>
      <c r="K597" s="6" t="n">
        <v>37</v>
      </c>
      <c r="L597" s="6" t="n">
        <v>0</v>
      </c>
      <c r="M597" s="7">
        <f>N597/9</f>
        <v/>
      </c>
      <c r="N597" s="6" t="n">
        <v>0</v>
      </c>
      <c r="O597" s="6" t="n">
        <v>9</v>
      </c>
      <c r="P597" s="6" t="n">
        <v>0</v>
      </c>
      <c r="Q597" s="7">
        <f>R597/11</f>
        <v/>
      </c>
      <c r="R597" s="6" t="n">
        <v>0</v>
      </c>
      <c r="S597" s="6" t="n">
        <v>11</v>
      </c>
      <c r="T597" s="6" t="n">
        <v>0</v>
      </c>
      <c r="U597" s="7">
        <f>V597/14</f>
        <v/>
      </c>
      <c r="V597" s="6" t="n">
        <v>0</v>
      </c>
      <c r="W597" s="6" t="n">
        <v>14</v>
      </c>
      <c r="X597" s="6" t="n">
        <v>0</v>
      </c>
      <c r="Y597" s="8" t="n">
        <v>0.03</v>
      </c>
      <c r="Z597" s="27" t="inlineStr">
        <is>
          <t>Failed (DNS Error (หาเว็บไม่เจอ))</t>
        </is>
      </c>
      <c r="AA597" s="2" t="inlineStr">
        <is>
          <t>2026-10-21 00:13:37</t>
        </is>
      </c>
    </row>
    <row r="598" ht="21.95" customHeight="1">
      <c r="A598" s="2" t="n">
        <v>597</v>
      </c>
      <c r="B598" s="31" t="inlineStr">
        <is>
          <t>http://www.nonthaburibaptist.com</t>
        </is>
      </c>
      <c r="C598" s="2" t="inlineStr">
        <is>
          <t>ศิลปะ-วัฒนธรรม</t>
        </is>
      </c>
      <c r="D598" s="25">
        <f>F598/71</f>
        <v/>
      </c>
      <c r="E598" s="26">
        <f>IF(D598&gt;=0.9,"ดีเยี่ยม",IF(D598&gt;=0.7,"ดี",IF(D598&gt;=0.5,"พอใช้","ต้องปรับปรุง")))</f>
        <v/>
      </c>
      <c r="F598" s="6">
        <f>J598+N598+R598+V598</f>
        <v/>
      </c>
      <c r="G598" s="6">
        <f>K598+O598+S598+W598</f>
        <v/>
      </c>
      <c r="H598" s="6">
        <f>L598+P598+T598+X598</f>
        <v/>
      </c>
      <c r="I598" s="7">
        <f>J598/37</f>
        <v/>
      </c>
      <c r="J598" s="6" t="n">
        <v>0</v>
      </c>
      <c r="K598" s="6" t="n">
        <v>37</v>
      </c>
      <c r="L598" s="6" t="n">
        <v>0</v>
      </c>
      <c r="M598" s="7">
        <f>N598/9</f>
        <v/>
      </c>
      <c r="N598" s="6" t="n">
        <v>0</v>
      </c>
      <c r="O598" s="6" t="n">
        <v>9</v>
      </c>
      <c r="P598" s="6" t="n">
        <v>0</v>
      </c>
      <c r="Q598" s="7">
        <f>R598/11</f>
        <v/>
      </c>
      <c r="R598" s="6" t="n">
        <v>0</v>
      </c>
      <c r="S598" s="6" t="n">
        <v>11</v>
      </c>
      <c r="T598" s="6" t="n">
        <v>0</v>
      </c>
      <c r="U598" s="7">
        <f>V598/14</f>
        <v/>
      </c>
      <c r="V598" s="6" t="n">
        <v>0</v>
      </c>
      <c r="W598" s="6" t="n">
        <v>14</v>
      </c>
      <c r="X598" s="6" t="n">
        <v>0</v>
      </c>
      <c r="Y598" s="8" t="n">
        <v>0.03</v>
      </c>
      <c r="Z598" s="27" t="inlineStr">
        <is>
          <t>Failed (DNS Error (หาเว็บไม่เจอ))</t>
        </is>
      </c>
      <c r="AA598" s="2" t="inlineStr">
        <is>
          <t>2026-10-21 00:13:37</t>
        </is>
      </c>
    </row>
    <row r="599" ht="21.95" customHeight="1">
      <c r="A599" s="2" t="n">
        <v>598</v>
      </c>
      <c r="B599" s="31" t="inlineStr">
        <is>
          <t>http://www.expressinter.com</t>
        </is>
      </c>
      <c r="C599" s="2" t="inlineStr">
        <is>
          <t>ท่องเที่ยว</t>
        </is>
      </c>
      <c r="D599" s="10">
        <f>F599/71</f>
        <v/>
      </c>
      <c r="E599" s="11">
        <f>IF(D599&gt;=0.9,"ดีเยี่ยม",IF(D599&gt;=0.7,"ดี",IF(D599&gt;=0.5,"พอใช้","ต้องปรับปรุง")))</f>
        <v/>
      </c>
      <c r="F599" s="6">
        <f>J599+N599+R599+V599</f>
        <v/>
      </c>
      <c r="G599" s="6">
        <f>K599+O599+S599+W599</f>
        <v/>
      </c>
      <c r="H599" s="6">
        <f>L599+P599+T599+X599</f>
        <v/>
      </c>
      <c r="I599" s="7">
        <f>J599/37</f>
        <v/>
      </c>
      <c r="J599" s="6" t="n">
        <v>29</v>
      </c>
      <c r="K599" s="6" t="n">
        <v>6</v>
      </c>
      <c r="L599" s="6" t="n">
        <v>2</v>
      </c>
      <c r="M599" s="7">
        <f>N599/9</f>
        <v/>
      </c>
      <c r="N599" s="6" t="n">
        <v>7</v>
      </c>
      <c r="O599" s="6" t="n">
        <v>2</v>
      </c>
      <c r="P599" s="6" t="n">
        <v>0</v>
      </c>
      <c r="Q599" s="7">
        <f>R599/11</f>
        <v/>
      </c>
      <c r="R599" s="6" t="n">
        <v>3</v>
      </c>
      <c r="S599" s="6" t="n">
        <v>4</v>
      </c>
      <c r="T599" s="6" t="n">
        <v>4</v>
      </c>
      <c r="U599" s="7">
        <f>V599/14</f>
        <v/>
      </c>
      <c r="V599" s="6" t="n">
        <v>2</v>
      </c>
      <c r="W599" s="6" t="n">
        <v>12</v>
      </c>
      <c r="X599" s="6" t="n">
        <v>0</v>
      </c>
      <c r="Y599" s="8" t="n">
        <v>18.33</v>
      </c>
      <c r="Z599" s="9" t="inlineStr">
        <is>
          <t>Success</t>
        </is>
      </c>
      <c r="AA599" s="2" t="inlineStr">
        <is>
          <t>2026-10-09 11:38:29</t>
        </is>
      </c>
    </row>
    <row r="600" ht="21.95" customHeight="1">
      <c r="A600" s="2" t="n">
        <v>599</v>
      </c>
      <c r="B600" s="31" t="inlineStr">
        <is>
          <t>http://www.giggajib.com</t>
        </is>
      </c>
      <c r="C600" s="2" t="inlineStr">
        <is>
          <t>บุคคล-สังคม</t>
        </is>
      </c>
      <c r="D600" s="25">
        <f>F600/71</f>
        <v/>
      </c>
      <c r="E600" s="26">
        <f>IF(D600&gt;=0.9,"ดีเยี่ยม",IF(D600&gt;=0.7,"ดี",IF(D600&gt;=0.5,"พอใช้","ต้องปรับปรุง")))</f>
        <v/>
      </c>
      <c r="F600" s="6">
        <f>J600+N600+R600+V600</f>
        <v/>
      </c>
      <c r="G600" s="6">
        <f>K600+O600+S600+W600</f>
        <v/>
      </c>
      <c r="H600" s="6">
        <f>L600+P600+T600+X600</f>
        <v/>
      </c>
      <c r="I600" s="7">
        <f>J600/37</f>
        <v/>
      </c>
      <c r="J600" s="6" t="n">
        <v>0</v>
      </c>
      <c r="K600" s="6" t="n">
        <v>37</v>
      </c>
      <c r="L600" s="6" t="n">
        <v>0</v>
      </c>
      <c r="M600" s="7">
        <f>N600/9</f>
        <v/>
      </c>
      <c r="N600" s="6" t="n">
        <v>0</v>
      </c>
      <c r="O600" s="6" t="n">
        <v>9</v>
      </c>
      <c r="P600" s="6" t="n">
        <v>0</v>
      </c>
      <c r="Q600" s="7">
        <f>R600/11</f>
        <v/>
      </c>
      <c r="R600" s="6" t="n">
        <v>0</v>
      </c>
      <c r="S600" s="6" t="n">
        <v>11</v>
      </c>
      <c r="T600" s="6" t="n">
        <v>0</v>
      </c>
      <c r="U600" s="7">
        <f>V600/14</f>
        <v/>
      </c>
      <c r="V600" s="6" t="n">
        <v>0</v>
      </c>
      <c r="W600" s="6" t="n">
        <v>14</v>
      </c>
      <c r="X600" s="6" t="n">
        <v>0</v>
      </c>
      <c r="Y600" s="8" t="n">
        <v>0.04</v>
      </c>
      <c r="Z600" s="27" t="inlineStr">
        <is>
          <t>Failed (DNS Error (หาเว็บไม่เจอ))</t>
        </is>
      </c>
      <c r="AA600" s="2" t="inlineStr">
        <is>
          <t>2026-10-21 00:13:37</t>
        </is>
      </c>
    </row>
    <row r="601" ht="21.95" customHeight="1">
      <c r="A601" s="2" t="n">
        <v>600</v>
      </c>
      <c r="B601" s="31" t="inlineStr">
        <is>
          <t>http://www.MobiFan.com</t>
        </is>
      </c>
      <c r="C601" s="2" t="inlineStr">
        <is>
          <t>มือถือ-พีดีเอ</t>
        </is>
      </c>
      <c r="D601" s="25">
        <f>F601/71</f>
        <v/>
      </c>
      <c r="E601" s="26">
        <f>IF(D601&gt;=0.9,"ดีเยี่ยม",IF(D601&gt;=0.7,"ดี",IF(D601&gt;=0.5,"พอใช้","ต้องปรับปรุง")))</f>
        <v/>
      </c>
      <c r="F601" s="6">
        <f>J601+N601+R601+V601</f>
        <v/>
      </c>
      <c r="G601" s="6">
        <f>K601+O601+S601+W601</f>
        <v/>
      </c>
      <c r="H601" s="6">
        <f>L601+P601+T601+X601</f>
        <v/>
      </c>
      <c r="I601" s="7">
        <f>J601/37</f>
        <v/>
      </c>
      <c r="J601" s="6" t="n">
        <v>0</v>
      </c>
      <c r="K601" s="6" t="n">
        <v>37</v>
      </c>
      <c r="L601" s="6" t="n">
        <v>0</v>
      </c>
      <c r="M601" s="7">
        <f>N601/9</f>
        <v/>
      </c>
      <c r="N601" s="6" t="n">
        <v>0</v>
      </c>
      <c r="O601" s="6" t="n">
        <v>9</v>
      </c>
      <c r="P601" s="6" t="n">
        <v>0</v>
      </c>
      <c r="Q601" s="7">
        <f>R601/11</f>
        <v/>
      </c>
      <c r="R601" s="6" t="n">
        <v>0</v>
      </c>
      <c r="S601" s="6" t="n">
        <v>11</v>
      </c>
      <c r="T601" s="6" t="n">
        <v>0</v>
      </c>
      <c r="U601" s="7">
        <f>V601/14</f>
        <v/>
      </c>
      <c r="V601" s="6" t="n">
        <v>0</v>
      </c>
      <c r="W601" s="6" t="n">
        <v>14</v>
      </c>
      <c r="X601" s="6" t="n">
        <v>0</v>
      </c>
      <c r="Y601" s="8" t="n">
        <v>0.55</v>
      </c>
      <c r="Z601" s="27" t="inlineStr">
        <is>
          <t>Failed (เว็บพัง (PHP/Database Error))</t>
        </is>
      </c>
      <c r="AA601" s="2" t="inlineStr">
        <is>
          <t>2026-10-21 00:13:37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  <hyperlink xmlns:r="http://schemas.openxmlformats.org/officeDocument/2006/relationships" ref="B473" r:id="rId472"/>
    <hyperlink xmlns:r="http://schemas.openxmlformats.org/officeDocument/2006/relationships" ref="B474" r:id="rId473"/>
    <hyperlink xmlns:r="http://schemas.openxmlformats.org/officeDocument/2006/relationships" ref="B475" r:id="rId474"/>
    <hyperlink xmlns:r="http://schemas.openxmlformats.org/officeDocument/2006/relationships" ref="B476" r:id="rId475"/>
    <hyperlink xmlns:r="http://schemas.openxmlformats.org/officeDocument/2006/relationships" ref="B477" r:id="rId476"/>
    <hyperlink xmlns:r="http://schemas.openxmlformats.org/officeDocument/2006/relationships" ref="B478" r:id="rId477"/>
    <hyperlink xmlns:r="http://schemas.openxmlformats.org/officeDocument/2006/relationships" ref="B479" r:id="rId478"/>
    <hyperlink xmlns:r="http://schemas.openxmlformats.org/officeDocument/2006/relationships" ref="B480" r:id="rId479"/>
    <hyperlink xmlns:r="http://schemas.openxmlformats.org/officeDocument/2006/relationships" ref="B481" r:id="rId480"/>
    <hyperlink xmlns:r="http://schemas.openxmlformats.org/officeDocument/2006/relationships" ref="B482" r:id="rId481"/>
    <hyperlink xmlns:r="http://schemas.openxmlformats.org/officeDocument/2006/relationships" ref="B483" r:id="rId482"/>
    <hyperlink xmlns:r="http://schemas.openxmlformats.org/officeDocument/2006/relationships" ref="B484" r:id="rId483"/>
    <hyperlink xmlns:r="http://schemas.openxmlformats.org/officeDocument/2006/relationships" ref="B485" r:id="rId484"/>
    <hyperlink xmlns:r="http://schemas.openxmlformats.org/officeDocument/2006/relationships" ref="B486" r:id="rId485"/>
    <hyperlink xmlns:r="http://schemas.openxmlformats.org/officeDocument/2006/relationships" ref="B487" r:id="rId486"/>
    <hyperlink xmlns:r="http://schemas.openxmlformats.org/officeDocument/2006/relationships" ref="B488" r:id="rId487"/>
    <hyperlink xmlns:r="http://schemas.openxmlformats.org/officeDocument/2006/relationships" ref="B489" r:id="rId488"/>
    <hyperlink xmlns:r="http://schemas.openxmlformats.org/officeDocument/2006/relationships" ref="B490" r:id="rId489"/>
    <hyperlink xmlns:r="http://schemas.openxmlformats.org/officeDocument/2006/relationships" ref="B491" r:id="rId490"/>
    <hyperlink xmlns:r="http://schemas.openxmlformats.org/officeDocument/2006/relationships" ref="B492" r:id="rId491"/>
    <hyperlink xmlns:r="http://schemas.openxmlformats.org/officeDocument/2006/relationships" ref="B493" r:id="rId492"/>
    <hyperlink xmlns:r="http://schemas.openxmlformats.org/officeDocument/2006/relationships" ref="B494" r:id="rId493"/>
    <hyperlink xmlns:r="http://schemas.openxmlformats.org/officeDocument/2006/relationships" ref="B495" r:id="rId494"/>
    <hyperlink xmlns:r="http://schemas.openxmlformats.org/officeDocument/2006/relationships" ref="B496" r:id="rId495"/>
    <hyperlink xmlns:r="http://schemas.openxmlformats.org/officeDocument/2006/relationships" ref="B497" r:id="rId496"/>
    <hyperlink xmlns:r="http://schemas.openxmlformats.org/officeDocument/2006/relationships" ref="B498" r:id="rId497"/>
    <hyperlink xmlns:r="http://schemas.openxmlformats.org/officeDocument/2006/relationships" ref="B499" r:id="rId498"/>
    <hyperlink xmlns:r="http://schemas.openxmlformats.org/officeDocument/2006/relationships" ref="B500" r:id="rId499"/>
    <hyperlink xmlns:r="http://schemas.openxmlformats.org/officeDocument/2006/relationships" ref="B501" r:id="rId500"/>
    <hyperlink xmlns:r="http://schemas.openxmlformats.org/officeDocument/2006/relationships" ref="B502" r:id="rId501"/>
    <hyperlink xmlns:r="http://schemas.openxmlformats.org/officeDocument/2006/relationships" ref="B503" r:id="rId502"/>
    <hyperlink xmlns:r="http://schemas.openxmlformats.org/officeDocument/2006/relationships" ref="B504" r:id="rId503"/>
    <hyperlink xmlns:r="http://schemas.openxmlformats.org/officeDocument/2006/relationships" ref="B505" r:id="rId504"/>
    <hyperlink xmlns:r="http://schemas.openxmlformats.org/officeDocument/2006/relationships" ref="B506" r:id="rId505"/>
    <hyperlink xmlns:r="http://schemas.openxmlformats.org/officeDocument/2006/relationships" ref="B507" r:id="rId506"/>
    <hyperlink xmlns:r="http://schemas.openxmlformats.org/officeDocument/2006/relationships" ref="B508" r:id="rId507"/>
    <hyperlink xmlns:r="http://schemas.openxmlformats.org/officeDocument/2006/relationships" ref="B509" r:id="rId508"/>
    <hyperlink xmlns:r="http://schemas.openxmlformats.org/officeDocument/2006/relationships" ref="B510" r:id="rId509"/>
    <hyperlink xmlns:r="http://schemas.openxmlformats.org/officeDocument/2006/relationships" ref="B511" r:id="rId510"/>
    <hyperlink xmlns:r="http://schemas.openxmlformats.org/officeDocument/2006/relationships" ref="B512" r:id="rId511"/>
    <hyperlink xmlns:r="http://schemas.openxmlformats.org/officeDocument/2006/relationships" ref="B513" r:id="rId512"/>
    <hyperlink xmlns:r="http://schemas.openxmlformats.org/officeDocument/2006/relationships" ref="B514" r:id="rId513"/>
    <hyperlink xmlns:r="http://schemas.openxmlformats.org/officeDocument/2006/relationships" ref="B515" r:id="rId514"/>
    <hyperlink xmlns:r="http://schemas.openxmlformats.org/officeDocument/2006/relationships" ref="B516" r:id="rId515"/>
    <hyperlink xmlns:r="http://schemas.openxmlformats.org/officeDocument/2006/relationships" ref="B517" r:id="rId516"/>
    <hyperlink xmlns:r="http://schemas.openxmlformats.org/officeDocument/2006/relationships" ref="B518" r:id="rId517"/>
    <hyperlink xmlns:r="http://schemas.openxmlformats.org/officeDocument/2006/relationships" ref="B519" r:id="rId518"/>
    <hyperlink xmlns:r="http://schemas.openxmlformats.org/officeDocument/2006/relationships" ref="B520" r:id="rId519"/>
    <hyperlink xmlns:r="http://schemas.openxmlformats.org/officeDocument/2006/relationships" ref="B521" r:id="rId520"/>
    <hyperlink xmlns:r="http://schemas.openxmlformats.org/officeDocument/2006/relationships" ref="B522" r:id="rId521"/>
    <hyperlink xmlns:r="http://schemas.openxmlformats.org/officeDocument/2006/relationships" ref="B523" r:id="rId522"/>
    <hyperlink xmlns:r="http://schemas.openxmlformats.org/officeDocument/2006/relationships" ref="B524" r:id="rId523"/>
    <hyperlink xmlns:r="http://schemas.openxmlformats.org/officeDocument/2006/relationships" ref="B525" r:id="rId524"/>
    <hyperlink xmlns:r="http://schemas.openxmlformats.org/officeDocument/2006/relationships" ref="B526" r:id="rId525"/>
    <hyperlink xmlns:r="http://schemas.openxmlformats.org/officeDocument/2006/relationships" ref="B527" r:id="rId526"/>
    <hyperlink xmlns:r="http://schemas.openxmlformats.org/officeDocument/2006/relationships" ref="B528" r:id="rId527"/>
    <hyperlink xmlns:r="http://schemas.openxmlformats.org/officeDocument/2006/relationships" ref="B529" r:id="rId528"/>
    <hyperlink xmlns:r="http://schemas.openxmlformats.org/officeDocument/2006/relationships" ref="B530" r:id="rId529"/>
    <hyperlink xmlns:r="http://schemas.openxmlformats.org/officeDocument/2006/relationships" ref="B531" r:id="rId530"/>
    <hyperlink xmlns:r="http://schemas.openxmlformats.org/officeDocument/2006/relationships" ref="B532" r:id="rId531"/>
    <hyperlink xmlns:r="http://schemas.openxmlformats.org/officeDocument/2006/relationships" ref="B533" r:id="rId532"/>
    <hyperlink xmlns:r="http://schemas.openxmlformats.org/officeDocument/2006/relationships" ref="B534" r:id="rId533"/>
    <hyperlink xmlns:r="http://schemas.openxmlformats.org/officeDocument/2006/relationships" ref="B535" r:id="rId534"/>
    <hyperlink xmlns:r="http://schemas.openxmlformats.org/officeDocument/2006/relationships" ref="B536" r:id="rId535"/>
    <hyperlink xmlns:r="http://schemas.openxmlformats.org/officeDocument/2006/relationships" ref="B537" r:id="rId536"/>
    <hyperlink xmlns:r="http://schemas.openxmlformats.org/officeDocument/2006/relationships" ref="B538" r:id="rId537"/>
    <hyperlink xmlns:r="http://schemas.openxmlformats.org/officeDocument/2006/relationships" ref="B539" r:id="rId538"/>
    <hyperlink xmlns:r="http://schemas.openxmlformats.org/officeDocument/2006/relationships" ref="B540" r:id="rId539"/>
    <hyperlink xmlns:r="http://schemas.openxmlformats.org/officeDocument/2006/relationships" ref="B541" r:id="rId540"/>
    <hyperlink xmlns:r="http://schemas.openxmlformats.org/officeDocument/2006/relationships" ref="B542" r:id="rId541"/>
    <hyperlink xmlns:r="http://schemas.openxmlformats.org/officeDocument/2006/relationships" ref="B543" r:id="rId542"/>
    <hyperlink xmlns:r="http://schemas.openxmlformats.org/officeDocument/2006/relationships" ref="B544" r:id="rId543"/>
    <hyperlink xmlns:r="http://schemas.openxmlformats.org/officeDocument/2006/relationships" ref="B545" r:id="rId544"/>
    <hyperlink xmlns:r="http://schemas.openxmlformats.org/officeDocument/2006/relationships" ref="B546" r:id="rId545"/>
    <hyperlink xmlns:r="http://schemas.openxmlformats.org/officeDocument/2006/relationships" ref="B547" r:id="rId546"/>
    <hyperlink xmlns:r="http://schemas.openxmlformats.org/officeDocument/2006/relationships" ref="B548" r:id="rId547"/>
    <hyperlink xmlns:r="http://schemas.openxmlformats.org/officeDocument/2006/relationships" ref="B549" r:id="rId548"/>
    <hyperlink xmlns:r="http://schemas.openxmlformats.org/officeDocument/2006/relationships" ref="B550" r:id="rId549"/>
    <hyperlink xmlns:r="http://schemas.openxmlformats.org/officeDocument/2006/relationships" ref="B551" r:id="rId550"/>
    <hyperlink xmlns:r="http://schemas.openxmlformats.org/officeDocument/2006/relationships" ref="B552" r:id="rId551"/>
    <hyperlink xmlns:r="http://schemas.openxmlformats.org/officeDocument/2006/relationships" ref="B553" r:id="rId552"/>
    <hyperlink xmlns:r="http://schemas.openxmlformats.org/officeDocument/2006/relationships" ref="B554" r:id="rId553"/>
    <hyperlink xmlns:r="http://schemas.openxmlformats.org/officeDocument/2006/relationships" ref="B555" r:id="rId554"/>
    <hyperlink xmlns:r="http://schemas.openxmlformats.org/officeDocument/2006/relationships" ref="B556" r:id="rId555"/>
    <hyperlink xmlns:r="http://schemas.openxmlformats.org/officeDocument/2006/relationships" ref="B557" r:id="rId556"/>
    <hyperlink xmlns:r="http://schemas.openxmlformats.org/officeDocument/2006/relationships" ref="B558" r:id="rId557"/>
    <hyperlink xmlns:r="http://schemas.openxmlformats.org/officeDocument/2006/relationships" ref="B559" r:id="rId558"/>
    <hyperlink xmlns:r="http://schemas.openxmlformats.org/officeDocument/2006/relationships" ref="B560" r:id="rId559"/>
    <hyperlink xmlns:r="http://schemas.openxmlformats.org/officeDocument/2006/relationships" ref="B561" r:id="rId560"/>
    <hyperlink xmlns:r="http://schemas.openxmlformats.org/officeDocument/2006/relationships" ref="B562" r:id="rId561"/>
    <hyperlink xmlns:r="http://schemas.openxmlformats.org/officeDocument/2006/relationships" ref="B563" r:id="rId562"/>
    <hyperlink xmlns:r="http://schemas.openxmlformats.org/officeDocument/2006/relationships" ref="B564" r:id="rId563"/>
    <hyperlink xmlns:r="http://schemas.openxmlformats.org/officeDocument/2006/relationships" ref="B565" r:id="rId564"/>
    <hyperlink xmlns:r="http://schemas.openxmlformats.org/officeDocument/2006/relationships" ref="B566" r:id="rId565"/>
    <hyperlink xmlns:r="http://schemas.openxmlformats.org/officeDocument/2006/relationships" ref="B567" r:id="rId566"/>
    <hyperlink xmlns:r="http://schemas.openxmlformats.org/officeDocument/2006/relationships" ref="B568" r:id="rId567"/>
    <hyperlink xmlns:r="http://schemas.openxmlformats.org/officeDocument/2006/relationships" ref="B569" r:id="rId568"/>
    <hyperlink xmlns:r="http://schemas.openxmlformats.org/officeDocument/2006/relationships" ref="B570" r:id="rId569"/>
    <hyperlink xmlns:r="http://schemas.openxmlformats.org/officeDocument/2006/relationships" ref="B571" r:id="rId570"/>
    <hyperlink xmlns:r="http://schemas.openxmlformats.org/officeDocument/2006/relationships" ref="B572" r:id="rId571"/>
    <hyperlink xmlns:r="http://schemas.openxmlformats.org/officeDocument/2006/relationships" ref="B573" r:id="rId572"/>
    <hyperlink xmlns:r="http://schemas.openxmlformats.org/officeDocument/2006/relationships" ref="B574" r:id="rId573"/>
    <hyperlink xmlns:r="http://schemas.openxmlformats.org/officeDocument/2006/relationships" ref="B575" r:id="rId574"/>
    <hyperlink xmlns:r="http://schemas.openxmlformats.org/officeDocument/2006/relationships" ref="B576" r:id="rId575"/>
    <hyperlink xmlns:r="http://schemas.openxmlformats.org/officeDocument/2006/relationships" ref="B577" r:id="rId576"/>
    <hyperlink xmlns:r="http://schemas.openxmlformats.org/officeDocument/2006/relationships" ref="B578" r:id="rId577"/>
    <hyperlink xmlns:r="http://schemas.openxmlformats.org/officeDocument/2006/relationships" ref="B579" r:id="rId578"/>
    <hyperlink xmlns:r="http://schemas.openxmlformats.org/officeDocument/2006/relationships" ref="B580" r:id="rId579"/>
    <hyperlink xmlns:r="http://schemas.openxmlformats.org/officeDocument/2006/relationships" ref="B581" r:id="rId580"/>
    <hyperlink xmlns:r="http://schemas.openxmlformats.org/officeDocument/2006/relationships" ref="B582" r:id="rId581"/>
    <hyperlink xmlns:r="http://schemas.openxmlformats.org/officeDocument/2006/relationships" ref="B583" r:id="rId582"/>
    <hyperlink xmlns:r="http://schemas.openxmlformats.org/officeDocument/2006/relationships" ref="B584" r:id="rId583"/>
    <hyperlink xmlns:r="http://schemas.openxmlformats.org/officeDocument/2006/relationships" ref="B585" r:id="rId584"/>
    <hyperlink xmlns:r="http://schemas.openxmlformats.org/officeDocument/2006/relationships" ref="B586" r:id="rId585"/>
    <hyperlink xmlns:r="http://schemas.openxmlformats.org/officeDocument/2006/relationships" ref="B587" r:id="rId586"/>
    <hyperlink xmlns:r="http://schemas.openxmlformats.org/officeDocument/2006/relationships" ref="B588" r:id="rId587"/>
    <hyperlink xmlns:r="http://schemas.openxmlformats.org/officeDocument/2006/relationships" ref="B589" r:id="rId588"/>
    <hyperlink xmlns:r="http://schemas.openxmlformats.org/officeDocument/2006/relationships" ref="B590" r:id="rId589"/>
    <hyperlink xmlns:r="http://schemas.openxmlformats.org/officeDocument/2006/relationships" ref="B591" r:id="rId590"/>
    <hyperlink xmlns:r="http://schemas.openxmlformats.org/officeDocument/2006/relationships" ref="B592" r:id="rId591"/>
    <hyperlink xmlns:r="http://schemas.openxmlformats.org/officeDocument/2006/relationships" ref="B593" r:id="rId592"/>
    <hyperlink xmlns:r="http://schemas.openxmlformats.org/officeDocument/2006/relationships" ref="B594" r:id="rId593"/>
    <hyperlink xmlns:r="http://schemas.openxmlformats.org/officeDocument/2006/relationships" ref="B595" r:id="rId594"/>
    <hyperlink xmlns:r="http://schemas.openxmlformats.org/officeDocument/2006/relationships" ref="B596" r:id="rId595"/>
    <hyperlink xmlns:r="http://schemas.openxmlformats.org/officeDocument/2006/relationships" ref="B597" r:id="rId596"/>
    <hyperlink xmlns:r="http://schemas.openxmlformats.org/officeDocument/2006/relationships" ref="B598" r:id="rId597"/>
    <hyperlink xmlns:r="http://schemas.openxmlformats.org/officeDocument/2006/relationships" ref="B599" r:id="rId598"/>
    <hyperlink xmlns:r="http://schemas.openxmlformats.org/officeDocument/2006/relationships" ref="B600" r:id="rId599"/>
    <hyperlink xmlns:r="http://schemas.openxmlformats.org/officeDocument/2006/relationships" ref="B601" r:id="rId6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64" customWidth="1" min="1" max="1"/>
    <col width="46" customWidth="1" min="2" max="2"/>
    <col width="62" customWidth="1" min="3" max="3"/>
    <col width="42" customWidth="1" min="4" max="4"/>
    <col width="18" customWidth="1" min="5" max="5"/>
  </cols>
  <sheetData>
    <row r="1">
      <c r="A1" s="28" t="inlineStr">
        <is>
          <t>สรุปภาพรวมผลการประเมินมาตรฐานเว็บไซต์ (Assessment Dashboard)</t>
        </is>
      </c>
    </row>
    <row r="2">
      <c r="A2" t="inlineStr">
        <is>
          <t>จำนวนเว็บไซต์ที่ประเมินแล้ว</t>
        </is>
      </c>
      <c r="B2" s="15">
        <f>COUNTA('Standards Score Report'!B2:B601)</f>
        <v/>
      </c>
    </row>
    <row r="3">
      <c r="A3" t="inlineStr">
        <is>
          <t>คะแนนเฉลี่ยรวมทุกมาตรฐาน</t>
        </is>
      </c>
      <c r="B3" s="16">
        <f>AVERAGE('Standards Score Report'!D2:D601)</f>
        <v/>
      </c>
    </row>
    <row r="4"/>
    <row r="5">
      <c r="A5" s="29" t="inlineStr">
        <is>
          <t>มาตรฐาน (Standard)</t>
        </is>
      </c>
      <c r="B5" s="29" t="inlineStr">
        <is>
          <t>คะแนนเฉลี่ย (%)</t>
        </is>
      </c>
      <c r="C5" s="29" t="inlineStr">
        <is>
          <t>คะแนนต่ำสุด (%)</t>
        </is>
      </c>
      <c r="D5" s="29" t="inlineStr">
        <is>
          <t>คะแนนสูงสุด (%)</t>
        </is>
      </c>
      <c r="E5" s="29" t="inlineStr">
        <is>
          <t>จำนวนรายการ</t>
        </is>
      </c>
    </row>
    <row r="6">
      <c r="A6" s="18" t="inlineStr">
        <is>
          <t>WCAG 2.1 (W3C)</t>
        </is>
      </c>
      <c r="B6" s="19">
        <f>AVERAGE('Standards Score Report'!I2:I601)</f>
        <v/>
      </c>
      <c r="C6" s="19">
        <f>MIN('Standards Score Report'!I2:I601)</f>
        <v/>
      </c>
      <c r="D6" s="19">
        <f>MAX('Standards Score Report'!I2:I601)</f>
        <v/>
      </c>
      <c r="E6" s="20" t="inlineStr">
        <is>
          <t>37 รายการ</t>
        </is>
      </c>
    </row>
    <row r="7">
      <c r="A7" s="18" t="inlineStr">
        <is>
          <t>Core Web Vitals &amp; SEO (Google)</t>
        </is>
      </c>
      <c r="B7" s="19">
        <f>AVERAGE('Standards Score Report'!M2:M601)</f>
        <v/>
      </c>
      <c r="C7" s="19">
        <f>MIN('Standards Score Report'!M2:M601)</f>
        <v/>
      </c>
      <c r="D7" s="19">
        <f>MAX('Standards Score Report'!M2:M601)</f>
        <v/>
      </c>
      <c r="E7" s="20" t="inlineStr">
        <is>
          <t>9 รายการ</t>
        </is>
      </c>
    </row>
    <row r="8">
      <c r="A8" s="18" t="inlineStr">
        <is>
          <t>มาตรฐานความมั่นคงปลอดภัย สกมช.</t>
        </is>
      </c>
      <c r="B8" s="19">
        <f>AVERAGE('Standards Score Report'!Q2:Q601)</f>
        <v/>
      </c>
      <c r="C8" s="19">
        <f>MIN('Standards Score Report'!Q2:Q601)</f>
        <v/>
      </c>
      <c r="D8" s="19">
        <f>MAX('Standards Score Report'!Q2:Q601)</f>
        <v/>
      </c>
      <c r="E8" s="20" t="inlineStr">
        <is>
          <t>11 รายการ</t>
        </is>
      </c>
    </row>
    <row r="9">
      <c r="A9" s="18" t="inlineStr">
        <is>
          <t>OWASP HTTP Security Headers</t>
        </is>
      </c>
      <c r="B9" s="19">
        <f>AVERAGE('Standards Score Report'!U2:U601)</f>
        <v/>
      </c>
      <c r="C9" s="19">
        <f>MIN('Standards Score Report'!U2:U601)</f>
        <v/>
      </c>
      <c r="D9" s="19">
        <f>MAX('Standards Score Report'!U2:U601)</f>
        <v/>
      </c>
      <c r="E9" s="20" t="inlineStr">
        <is>
          <t>14 รายการ</t>
        </is>
      </c>
    </row>
    <row r="10">
      <c r="A10" s="18" t="inlineStr">
        <is>
          <t>คะแนนเฉลี่ยรวม (Overall Score)</t>
        </is>
      </c>
      <c r="B10" s="19">
        <f>AVERAGE('Standards Score Report'!D2:D601)</f>
        <v/>
      </c>
      <c r="C10" s="19">
        <f>MIN('Standards Score Report'!D2:D601)</f>
        <v/>
      </c>
      <c r="D10" s="19">
        <f>MAX('Standards Score Report'!D2:D601)</f>
        <v/>
      </c>
      <c r="E10" s="20" t="inlineStr">
        <is>
          <t>71 รายการ</t>
        </is>
      </c>
    </row>
    <row r="11"/>
    <row r="12">
      <c r="A12" s="21" t="inlineStr">
        <is>
          <t>การกระจายตัวของระดับผลการประเมิน (Grade Distribution)</t>
        </is>
      </c>
    </row>
    <row r="13">
      <c r="A13" s="30" t="inlineStr">
        <is>
          <t>ระดับ (Grade)</t>
        </is>
      </c>
      <c r="B13" s="30" t="inlineStr">
        <is>
          <t>เกณฑ์คะแนน</t>
        </is>
      </c>
      <c r="C13" s="30" t="inlineStr">
        <is>
          <t>จำนวนเว็บ</t>
        </is>
      </c>
      <c r="D13" s="30" t="inlineStr">
        <is>
          <t>คิดเป็นเปอร์เซ็นต์</t>
        </is>
      </c>
    </row>
    <row r="14">
      <c r="A14" t="inlineStr">
        <is>
          <t>ดีเยี่ยม</t>
        </is>
      </c>
      <c r="B14" t="inlineStr">
        <is>
          <t>≥ 90%</t>
        </is>
      </c>
      <c r="C14" s="23">
        <f>COUNTIF('Standards Score Report'!E2:E601, "ดีเยี่ยม")</f>
        <v/>
      </c>
      <c r="D14" s="19">
        <f>C14/B2</f>
        <v/>
      </c>
    </row>
    <row r="15">
      <c r="A15" t="inlineStr">
        <is>
          <t>ดี</t>
        </is>
      </c>
      <c r="B15" t="inlineStr">
        <is>
          <t>70% – 89%</t>
        </is>
      </c>
      <c r="C15" s="23">
        <f>COUNTIF('Standards Score Report'!E2:E601, "ดี")</f>
        <v/>
      </c>
      <c r="D15" s="19">
        <f>C15/B2</f>
        <v/>
      </c>
    </row>
    <row r="16">
      <c r="A16" t="inlineStr">
        <is>
          <t>พอใช้</t>
        </is>
      </c>
      <c r="B16" t="inlineStr">
        <is>
          <t>50% – 69%</t>
        </is>
      </c>
      <c r="C16" s="23">
        <f>COUNTIF('Standards Score Report'!E2:E601, "พอใช้")</f>
        <v/>
      </c>
      <c r="D16" s="19">
        <f>C16/B2</f>
        <v/>
      </c>
    </row>
    <row r="17">
      <c r="A17" t="inlineStr">
        <is>
          <t>ต้องปรับปรุง</t>
        </is>
      </c>
      <c r="B17" t="inlineStr">
        <is>
          <t>&lt; 50%</t>
        </is>
      </c>
      <c r="C17" s="23">
        <f>COUNTIF('Standards Score Report'!E2:E601, "ต้องปรับปรุง")</f>
        <v/>
      </c>
      <c r="D17" s="19">
        <f>C17/B2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2026-10-09T03:45:38Z</dcterms:created>
  <dcterms:modified xsi:type="dcterms:W3CDTF">2026-10-20T17:22:12Z</dcterms:modified>
  <cp:lastModifiedBy>Panupong Hansena</cp:lastModifiedBy>
</cp:coreProperties>
</file>